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spectral_slope\"/>
    </mc:Choice>
  </mc:AlternateContent>
  <xr:revisionPtr revIDLastSave="0" documentId="13_ncr:1_{2123C900-7AB3-41EB-9F54-A796D8582D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G26" i="1"/>
  <c r="C18" i="1"/>
  <c r="C16" i="1"/>
  <c r="C20" i="1"/>
  <c r="C14" i="1"/>
  <c r="C3" i="1"/>
  <c r="D3" i="1"/>
  <c r="E3" i="1"/>
  <c r="F3" i="1"/>
  <c r="G3" i="1"/>
  <c r="H3" i="1"/>
  <c r="I3" i="1"/>
  <c r="J3" i="1"/>
  <c r="K3" i="1"/>
  <c r="L3" i="1"/>
  <c r="C4" i="1"/>
  <c r="D4" i="1"/>
  <c r="E4" i="1"/>
  <c r="F4" i="1"/>
  <c r="G4" i="1"/>
  <c r="H4" i="1"/>
  <c r="I4" i="1"/>
  <c r="J4" i="1"/>
  <c r="K4" i="1"/>
  <c r="L4" i="1"/>
  <c r="C5" i="1"/>
  <c r="D5" i="1"/>
  <c r="E5" i="1"/>
  <c r="F5" i="1"/>
  <c r="G5" i="1"/>
  <c r="H5" i="1"/>
  <c r="I5" i="1"/>
  <c r="J5" i="1"/>
  <c r="K5" i="1"/>
  <c r="L5" i="1"/>
  <c r="C6" i="1"/>
  <c r="D6" i="1"/>
  <c r="E6" i="1"/>
  <c r="F6" i="1"/>
  <c r="G6" i="1"/>
  <c r="H6" i="1"/>
  <c r="I6" i="1"/>
  <c r="J6" i="1"/>
  <c r="K6" i="1"/>
  <c r="L6" i="1"/>
  <c r="C7" i="1"/>
  <c r="D7" i="1"/>
  <c r="E7" i="1"/>
  <c r="F7" i="1"/>
  <c r="G7" i="1"/>
  <c r="H7" i="1"/>
  <c r="I7" i="1"/>
  <c r="J7" i="1"/>
  <c r="K7" i="1"/>
  <c r="L7" i="1"/>
  <c r="C8" i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C12" i="1"/>
  <c r="D12" i="1"/>
  <c r="E12" i="1"/>
  <c r="F12" i="1"/>
  <c r="G12" i="1"/>
  <c r="H12" i="1"/>
  <c r="I12" i="1"/>
  <c r="J12" i="1"/>
  <c r="K12" i="1"/>
  <c r="L12" i="1"/>
  <c r="C13" i="1"/>
  <c r="D13" i="1"/>
  <c r="E13" i="1"/>
  <c r="F13" i="1"/>
  <c r="G13" i="1"/>
  <c r="H13" i="1"/>
  <c r="I13" i="1"/>
  <c r="J13" i="1"/>
  <c r="K13" i="1"/>
  <c r="L13" i="1"/>
  <c r="D14" i="1"/>
  <c r="E14" i="1"/>
  <c r="F14" i="1"/>
  <c r="G14" i="1"/>
  <c r="H14" i="1"/>
  <c r="I14" i="1"/>
  <c r="J14" i="1"/>
  <c r="K14" i="1"/>
  <c r="L14" i="1"/>
  <c r="C15" i="1"/>
  <c r="D15" i="1"/>
  <c r="E15" i="1"/>
  <c r="F15" i="1"/>
  <c r="G15" i="1"/>
  <c r="H15" i="1"/>
  <c r="I15" i="1"/>
  <c r="J15" i="1"/>
  <c r="K15" i="1"/>
  <c r="L15" i="1"/>
  <c r="D16" i="1"/>
  <c r="E16" i="1"/>
  <c r="F16" i="1"/>
  <c r="G16" i="1"/>
  <c r="H16" i="1"/>
  <c r="I16" i="1"/>
  <c r="J16" i="1"/>
  <c r="K16" i="1"/>
  <c r="L16" i="1"/>
  <c r="C17" i="1"/>
  <c r="D17" i="1"/>
  <c r="E17" i="1"/>
  <c r="F17" i="1"/>
  <c r="G17" i="1"/>
  <c r="H17" i="1"/>
  <c r="I17" i="1"/>
  <c r="J17" i="1"/>
  <c r="K17" i="1"/>
  <c r="L17" i="1"/>
  <c r="D18" i="1"/>
  <c r="E18" i="1"/>
  <c r="F18" i="1"/>
  <c r="G18" i="1"/>
  <c r="H18" i="1"/>
  <c r="I18" i="1"/>
  <c r="J18" i="1"/>
  <c r="K18" i="1"/>
  <c r="L18" i="1"/>
  <c r="C19" i="1"/>
  <c r="D19" i="1"/>
  <c r="E19" i="1"/>
  <c r="F19" i="1"/>
  <c r="G19" i="1"/>
  <c r="H19" i="1"/>
  <c r="I19" i="1"/>
  <c r="J19" i="1"/>
  <c r="K19" i="1"/>
  <c r="L19" i="1"/>
  <c r="D20" i="1"/>
  <c r="E20" i="1"/>
  <c r="F20" i="1"/>
  <c r="G20" i="1"/>
  <c r="H20" i="1"/>
  <c r="I20" i="1"/>
  <c r="J20" i="1"/>
  <c r="K20" i="1"/>
  <c r="L20" i="1"/>
  <c r="C2" i="1"/>
  <c r="D2" i="1"/>
  <c r="E2" i="1"/>
  <c r="F2" i="1"/>
  <c r="G2" i="1"/>
  <c r="H2" i="1"/>
  <c r="I2" i="1"/>
  <c r="J2" i="1"/>
  <c r="K2" i="1"/>
  <c r="L2" i="1"/>
</calcChain>
</file>

<file path=xl/sharedStrings.xml><?xml version="1.0" encoding="utf-8"?>
<sst xmlns="http://schemas.openxmlformats.org/spreadsheetml/2006/main" count="20" uniqueCount="20">
  <si>
    <t>スペクトル傾斜</t>
  </si>
  <si>
    <t>Bypass</t>
    <phoneticPr fontId="2"/>
  </si>
  <si>
    <t>DIST=0,TONE=0,LEVEL=5</t>
  </si>
  <si>
    <t>DIST=0,TONE=0,LEVEL=10</t>
  </si>
  <si>
    <t>DIST=0,TONE=5,LEVEL=5</t>
  </si>
  <si>
    <t>DIST=0,TONE=5,LEVEL=10</t>
  </si>
  <si>
    <t>DIST=0,TONE=10,LEVEL=5</t>
  </si>
  <si>
    <t>DIST=0,TONE=10,LEVEL=10</t>
  </si>
  <si>
    <t>DIST=5,TONE=0,LEVEL=5</t>
  </si>
  <si>
    <t>DIST=5,TONE=0,LEVEL=10</t>
  </si>
  <si>
    <t>DIST=5,TONE=5,LEVEL=5</t>
  </si>
  <si>
    <t>DIST=5,TONE=5,LEVEL=10</t>
  </si>
  <si>
    <t>DIST=5,TONE=10,LEVEL=5</t>
  </si>
  <si>
    <t>DIST=5,TONE=10,LEVEL=10</t>
  </si>
  <si>
    <t>DIST=10,TONE=0,LEVEL=5</t>
  </si>
  <si>
    <t>DIST=10,TONE=0,LEVEL=10</t>
  </si>
  <si>
    <t>DIST=10,TONE=5,LEVEL=5</t>
  </si>
  <si>
    <t>DIST=10,TONE=5,LEVEL=10</t>
  </si>
  <si>
    <t>DIST=10,TONE=10,LEVEL=5</t>
  </si>
  <si>
    <t>DIST=10,TONE=10,LEVEL=10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</si>
</sst>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8" formatCode="0.00000"/>
  </numFmts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176" fontId="0" fillId="0" borderId="0" xfId="0" applyNumberFormat="1"/>
    <xf numFmtId="178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DIST=0,TONE=0,LEVEL=10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Sheet1!$C$4:$L$4</c:f>
              <c:numCache>
                <c:formatCode>0.000</c:formatCode>
                <c:ptCount val="10"/>
                <c:pt idx="0">
                  <c:v>-1.0070475763280518</c:v>
                </c:pt>
                <c:pt idx="1">
                  <c:v>-2.0140951526561035</c:v>
                </c:pt>
                <c:pt idx="2">
                  <c:v>-3.021142728984155</c:v>
                </c:pt>
                <c:pt idx="3">
                  <c:v>-4.028190305312207</c:v>
                </c:pt>
                <c:pt idx="4">
                  <c:v>-5.035237881640259</c:v>
                </c:pt>
                <c:pt idx="5">
                  <c:v>-6.0422854579683101</c:v>
                </c:pt>
                <c:pt idx="6">
                  <c:v>-7.0493330342963612</c:v>
                </c:pt>
                <c:pt idx="7">
                  <c:v>-8.056380610624414</c:v>
                </c:pt>
                <c:pt idx="8">
                  <c:v>-9.063428186952466</c:v>
                </c:pt>
                <c:pt idx="9">
                  <c:v>-10.070475763280518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BB-4F9B-990D-2A6C21BEF626}"/>
            </c:ext>
          </c:extLst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DIST=0,TONE=5,LEVEL=10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Sheet1!$C$6:$L$6</c:f>
              <c:numCache>
                <c:formatCode>0.000</c:formatCode>
                <c:ptCount val="10"/>
                <c:pt idx="0">
                  <c:v>-0.78604716835892141</c:v>
                </c:pt>
                <c:pt idx="1">
                  <c:v>-1.5720943367178428</c:v>
                </c:pt>
                <c:pt idx="2">
                  <c:v>-2.3581415050767642</c:v>
                </c:pt>
                <c:pt idx="3">
                  <c:v>-3.1441886734356856</c:v>
                </c:pt>
                <c:pt idx="4">
                  <c:v>-3.9302358417946071</c:v>
                </c:pt>
                <c:pt idx="5">
                  <c:v>-4.7162830101535285</c:v>
                </c:pt>
                <c:pt idx="6">
                  <c:v>-5.5023301785124499</c:v>
                </c:pt>
                <c:pt idx="7">
                  <c:v>-6.2883773468713713</c:v>
                </c:pt>
                <c:pt idx="8">
                  <c:v>-7.0744245152302936</c:v>
                </c:pt>
                <c:pt idx="9">
                  <c:v>-7.8604716835892141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BB-4F9B-990D-2A6C21BEF626}"/>
            </c:ext>
          </c:extLst>
        </c:ser>
        <c:ser>
          <c:idx val="2"/>
          <c:order val="2"/>
          <c:tx>
            <c:strRef>
              <c:f>Sheet1!$A$8</c:f>
              <c:strCache>
                <c:ptCount val="1"/>
                <c:pt idx="0">
                  <c:v>DIST=0,TONE=10,LEVEL=10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Sheet1!$C$8:$L$8</c:f>
              <c:numCache>
                <c:formatCode>0.000</c:formatCode>
                <c:ptCount val="10"/>
                <c:pt idx="0">
                  <c:v>-0.7772005636888244</c:v>
                </c:pt>
                <c:pt idx="1">
                  <c:v>-1.5544011273776488</c:v>
                </c:pt>
                <c:pt idx="2">
                  <c:v>-2.3316016910664734</c:v>
                </c:pt>
                <c:pt idx="3">
                  <c:v>-3.1088022547552976</c:v>
                </c:pt>
                <c:pt idx="4">
                  <c:v>-3.8860028184441222</c:v>
                </c:pt>
                <c:pt idx="5">
                  <c:v>-4.6632033821329468</c:v>
                </c:pt>
                <c:pt idx="6">
                  <c:v>-5.440403945821771</c:v>
                </c:pt>
                <c:pt idx="7">
                  <c:v>-6.2176045095105952</c:v>
                </c:pt>
                <c:pt idx="8">
                  <c:v>-6.9948050731994202</c:v>
                </c:pt>
                <c:pt idx="9">
                  <c:v>-7.7720056368882444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BB-4F9B-990D-2A6C21BEF626}"/>
            </c:ext>
          </c:extLst>
        </c:ser>
        <c:ser>
          <c:idx val="3"/>
          <c:order val="3"/>
          <c:tx>
            <c:strRef>
              <c:f>Sheet1!$A$10</c:f>
              <c:strCache>
                <c:ptCount val="1"/>
                <c:pt idx="0">
                  <c:v>DIST=5,TONE=0,LEVEL=10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Sheet1!$C$10:$L$10</c:f>
              <c:numCache>
                <c:formatCode>0.000</c:formatCode>
                <c:ptCount val="10"/>
                <c:pt idx="0">
                  <c:v>-0.86506067826840327</c:v>
                </c:pt>
                <c:pt idx="1">
                  <c:v>-1.7301213565368065</c:v>
                </c:pt>
                <c:pt idx="2">
                  <c:v>-2.5951820348052097</c:v>
                </c:pt>
                <c:pt idx="3">
                  <c:v>-3.4602427130736131</c:v>
                </c:pt>
                <c:pt idx="4">
                  <c:v>-4.3253033913420165</c:v>
                </c:pt>
                <c:pt idx="5">
                  <c:v>-5.1903640696104194</c:v>
                </c:pt>
                <c:pt idx="6">
                  <c:v>-6.0554247478788223</c:v>
                </c:pt>
                <c:pt idx="7">
                  <c:v>-6.9204854261472262</c:v>
                </c:pt>
                <c:pt idx="8">
                  <c:v>-7.7855461044156291</c:v>
                </c:pt>
                <c:pt idx="9">
                  <c:v>-8.6506067826840329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BB-4F9B-990D-2A6C21BEF626}"/>
            </c:ext>
          </c:extLst>
        </c:ser>
        <c:ser>
          <c:idx val="4"/>
          <c:order val="4"/>
          <c:tx>
            <c:strRef>
              <c:f>Sheet1!$A$12</c:f>
              <c:strCache>
                <c:ptCount val="1"/>
                <c:pt idx="0">
                  <c:v>DIST=5,TONE=5,LEVEL=10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Sheet1!$C$12:$L$12</c:f>
              <c:numCache>
                <c:formatCode>0.000</c:formatCode>
                <c:ptCount val="10"/>
                <c:pt idx="0">
                  <c:v>-0.63996880396778433</c:v>
                </c:pt>
                <c:pt idx="1">
                  <c:v>-1.2799376079355687</c:v>
                </c:pt>
                <c:pt idx="2">
                  <c:v>-1.9199064119033529</c:v>
                </c:pt>
                <c:pt idx="3">
                  <c:v>-2.5598752158711373</c:v>
                </c:pt>
                <c:pt idx="4">
                  <c:v>-3.1998440198389217</c:v>
                </c:pt>
                <c:pt idx="5">
                  <c:v>-3.8398128238067057</c:v>
                </c:pt>
                <c:pt idx="6">
                  <c:v>-4.4797816277744911</c:v>
                </c:pt>
                <c:pt idx="7">
                  <c:v>-5.1197504317422746</c:v>
                </c:pt>
                <c:pt idx="8">
                  <c:v>-5.7597192357100582</c:v>
                </c:pt>
                <c:pt idx="9">
                  <c:v>-6.3996880396778435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BB-4F9B-990D-2A6C21BEF626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DIST=5,TONE=10,LEVEL=10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Sheet1!$C$14:$L$14</c:f>
              <c:numCache>
                <c:formatCode>0.000</c:formatCode>
                <c:ptCount val="10"/>
                <c:pt idx="0">
                  <c:v>-0.62582207194459483</c:v>
                </c:pt>
                <c:pt idx="1">
                  <c:v>-1.2516441438891897</c:v>
                </c:pt>
                <c:pt idx="2">
                  <c:v>-1.8774662158337847</c:v>
                </c:pt>
                <c:pt idx="3">
                  <c:v>-2.5032882877783793</c:v>
                </c:pt>
                <c:pt idx="4">
                  <c:v>-3.1291103597229739</c:v>
                </c:pt>
                <c:pt idx="5">
                  <c:v>-3.7549324316675694</c:v>
                </c:pt>
                <c:pt idx="6">
                  <c:v>-4.380754503612164</c:v>
                </c:pt>
                <c:pt idx="7">
                  <c:v>-5.0065765755567586</c:v>
                </c:pt>
                <c:pt idx="8">
                  <c:v>-5.6323986475013532</c:v>
                </c:pt>
                <c:pt idx="9">
                  <c:v>-6.2582207194459478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EBB-4F9B-990D-2A6C21BEF626}"/>
            </c:ext>
          </c:extLst>
        </c:ser>
        <c:ser>
          <c:idx val="6"/>
          <c:order val="6"/>
          <c:tx>
            <c:strRef>
              <c:f>Sheet1!$A$16</c:f>
              <c:strCache>
                <c:ptCount val="1"/>
                <c:pt idx="0">
                  <c:v>DIST=10,TONE=0,LEVEL=10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Sheet1!$C$16:$L$16</c:f>
              <c:numCache>
                <c:formatCode>0.000</c:formatCode>
                <c:ptCount val="10"/>
                <c:pt idx="0">
                  <c:v>-0.77154239706571714</c:v>
                </c:pt>
                <c:pt idx="1">
                  <c:v>-1.5430847941314343</c:v>
                </c:pt>
                <c:pt idx="2">
                  <c:v>-2.3146271911971517</c:v>
                </c:pt>
                <c:pt idx="3">
                  <c:v>-3.0861695882628686</c:v>
                </c:pt>
                <c:pt idx="4">
                  <c:v>-3.8577119853285859</c:v>
                </c:pt>
                <c:pt idx="5">
                  <c:v>-4.6292543823943033</c:v>
                </c:pt>
                <c:pt idx="6">
                  <c:v>-5.4007967794600198</c:v>
                </c:pt>
                <c:pt idx="7">
                  <c:v>-6.1723391765257372</c:v>
                </c:pt>
                <c:pt idx="8">
                  <c:v>-6.9438815735914536</c:v>
                </c:pt>
                <c:pt idx="9">
                  <c:v>-7.7154239706571719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BB-4F9B-990D-2A6C21BEF626}"/>
            </c:ext>
          </c:extLst>
        </c:ser>
        <c:ser>
          <c:idx val="7"/>
          <c:order val="7"/>
          <c:tx>
            <c:strRef>
              <c:f>Sheet1!$A$18</c:f>
              <c:strCache>
                <c:ptCount val="1"/>
                <c:pt idx="0">
                  <c:v>DIST=10,TONE=5,LEVEL=10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Sheet1!$C$18:$L$18</c:f>
              <c:numCache>
                <c:formatCode>0.000</c:formatCode>
                <c:ptCount val="10"/>
                <c:pt idx="0">
                  <c:v>-0.53399980177424367</c:v>
                </c:pt>
                <c:pt idx="1">
                  <c:v>-1.0679996035484873</c:v>
                </c:pt>
                <c:pt idx="2">
                  <c:v>-1.6019994053227309</c:v>
                </c:pt>
                <c:pt idx="3">
                  <c:v>-2.1359992070969747</c:v>
                </c:pt>
                <c:pt idx="4">
                  <c:v>-2.6699990088712182</c:v>
                </c:pt>
                <c:pt idx="5">
                  <c:v>-3.2039988106454618</c:v>
                </c:pt>
                <c:pt idx="6">
                  <c:v>-3.7379986124197053</c:v>
                </c:pt>
                <c:pt idx="7">
                  <c:v>-4.2719984141939493</c:v>
                </c:pt>
                <c:pt idx="8">
                  <c:v>-4.8059982159681924</c:v>
                </c:pt>
                <c:pt idx="9">
                  <c:v>-5.3399980177424364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EBB-4F9B-990D-2A6C21BEF626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DIST=10,TONE=10,LEVEL=10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Sheet1!$C$20:$L$20</c:f>
              <c:numCache>
                <c:formatCode>0.000</c:formatCode>
                <c:ptCount val="10"/>
                <c:pt idx="0">
                  <c:v>-0.52078191145256758</c:v>
                </c:pt>
                <c:pt idx="1">
                  <c:v>-1.0415638229051352</c:v>
                </c:pt>
                <c:pt idx="2">
                  <c:v>-1.562345734357703</c:v>
                </c:pt>
                <c:pt idx="3">
                  <c:v>-2.0831276458102703</c:v>
                </c:pt>
                <c:pt idx="4">
                  <c:v>-2.6039095572628383</c:v>
                </c:pt>
                <c:pt idx="5">
                  <c:v>-3.1246914687154059</c:v>
                </c:pt>
                <c:pt idx="6">
                  <c:v>-3.6454733801679731</c:v>
                </c:pt>
                <c:pt idx="7">
                  <c:v>-4.1662552916205406</c:v>
                </c:pt>
                <c:pt idx="8">
                  <c:v>-4.6870372030731087</c:v>
                </c:pt>
                <c:pt idx="9">
                  <c:v>-5.2078191145256767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EBB-4F9B-990D-2A6C21BEF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244255"/>
        <c:axId val="1058246175"/>
      </c:lineChart>
      <c:catAx>
        <c:axId val="105824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alt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octave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altLang="ja-JP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ja-JP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8246175"/>
        <c:crosses val="autoZero"/>
        <c:auto val="1"/>
        <c:lblAlgn val="ctr"/>
        <c:lblOffset val="100"/>
        <c:noMultiLvlLbl val="0"/>
      </c:catAx>
      <c:valAx>
        <c:axId val="105824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alt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altLang="ja-JP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ja-JP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824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ja-JP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altLang="ja-JP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2"/>
          <c:tx>
            <c:strRef>
              <c:f>Sheet1!$A$8</c:f>
              <c:strCache>
                <c:ptCount val="1"/>
                <c:pt idx="0">
                  <c:v>DIST=0,TONE=10,LEVEL=10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Sheet1!$C$8:$L$8</c:f>
              <c:numCache>
                <c:formatCode>0.000</c:formatCode>
                <c:ptCount val="10"/>
                <c:pt idx="0">
                  <c:v>-0.7772005636888244</c:v>
                </c:pt>
                <c:pt idx="1">
                  <c:v>-1.5544011273776488</c:v>
                </c:pt>
                <c:pt idx="2">
                  <c:v>-2.3316016910664734</c:v>
                </c:pt>
                <c:pt idx="3">
                  <c:v>-3.1088022547552976</c:v>
                </c:pt>
                <c:pt idx="4">
                  <c:v>-3.8860028184441222</c:v>
                </c:pt>
                <c:pt idx="5">
                  <c:v>-4.6632033821329468</c:v>
                </c:pt>
                <c:pt idx="6">
                  <c:v>-5.440403945821771</c:v>
                </c:pt>
                <c:pt idx="7">
                  <c:v>-6.2176045095105952</c:v>
                </c:pt>
                <c:pt idx="8">
                  <c:v>-6.9948050731994202</c:v>
                </c:pt>
                <c:pt idx="9">
                  <c:v>-7.7720056368882444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D1-41D7-81A5-087F5C7ACA7C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DIST=5,TONE=10,LEVEL=10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Sheet1!$C$14:$L$14</c:f>
              <c:numCache>
                <c:formatCode>0.000</c:formatCode>
                <c:ptCount val="10"/>
                <c:pt idx="0">
                  <c:v>-0.62582207194459483</c:v>
                </c:pt>
                <c:pt idx="1">
                  <c:v>-1.2516441438891897</c:v>
                </c:pt>
                <c:pt idx="2">
                  <c:v>-1.8774662158337847</c:v>
                </c:pt>
                <c:pt idx="3">
                  <c:v>-2.5032882877783793</c:v>
                </c:pt>
                <c:pt idx="4">
                  <c:v>-3.1291103597229739</c:v>
                </c:pt>
                <c:pt idx="5">
                  <c:v>-3.7549324316675694</c:v>
                </c:pt>
                <c:pt idx="6">
                  <c:v>-4.380754503612164</c:v>
                </c:pt>
                <c:pt idx="7">
                  <c:v>-5.0065765755567586</c:v>
                </c:pt>
                <c:pt idx="8">
                  <c:v>-5.6323986475013532</c:v>
                </c:pt>
                <c:pt idx="9">
                  <c:v>-6.2582207194459478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D1-41D7-81A5-087F5C7ACA7C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DIST=10,TONE=10,LEVEL=10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Sheet1!$C$20:$L$20</c:f>
              <c:numCache>
                <c:formatCode>0.000</c:formatCode>
                <c:ptCount val="10"/>
                <c:pt idx="0">
                  <c:v>-0.52078191145256758</c:v>
                </c:pt>
                <c:pt idx="1">
                  <c:v>-1.0415638229051352</c:v>
                </c:pt>
                <c:pt idx="2">
                  <c:v>-1.562345734357703</c:v>
                </c:pt>
                <c:pt idx="3">
                  <c:v>-2.0831276458102703</c:v>
                </c:pt>
                <c:pt idx="4">
                  <c:v>-2.6039095572628383</c:v>
                </c:pt>
                <c:pt idx="5">
                  <c:v>-3.1246914687154059</c:v>
                </c:pt>
                <c:pt idx="6">
                  <c:v>-3.6454733801679731</c:v>
                </c:pt>
                <c:pt idx="7">
                  <c:v>-4.1662552916205406</c:v>
                </c:pt>
                <c:pt idx="8">
                  <c:v>-4.6870372030731087</c:v>
                </c:pt>
                <c:pt idx="9">
                  <c:v>-5.2078191145256767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D1-41D7-81A5-087F5C7AC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244255"/>
        <c:axId val="10582461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DIST=0,TONE=0,LEVEL=10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Sheet1!$C$4:$L$4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-1.0070475763280518</c:v>
                      </c:pt>
                      <c:pt idx="1">
                        <c:v>-2.0140951526561035</c:v>
                      </c:pt>
                      <c:pt idx="2">
                        <c:v>-3.021142728984155</c:v>
                      </c:pt>
                      <c:pt idx="3">
                        <c:v>-4.028190305312207</c:v>
                      </c:pt>
                      <c:pt idx="4">
                        <c:v>-5.035237881640259</c:v>
                      </c:pt>
                      <c:pt idx="5">
                        <c:v>-6.0422854579683101</c:v>
                      </c:pt>
                      <c:pt idx="6">
                        <c:v>-7.0493330342963612</c:v>
                      </c:pt>
                      <c:pt idx="7">
                        <c:v>-8.056380610624414</c:v>
                      </c:pt>
                      <c:pt idx="8">
                        <c:v>-9.063428186952466</c:v>
                      </c:pt>
                      <c:pt idx="9">
                        <c:v>-10.070475763280518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FD1-41D7-81A5-087F5C7ACA7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DIST=0,TONE=5,LEVEL=10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Sheet1!$C$6:$L$6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-0.78604716835892141</c:v>
                      </c:pt>
                      <c:pt idx="1">
                        <c:v>-1.5720943367178428</c:v>
                      </c:pt>
                      <c:pt idx="2">
                        <c:v>-2.3581415050767642</c:v>
                      </c:pt>
                      <c:pt idx="3">
                        <c:v>-3.1441886734356856</c:v>
                      </c:pt>
                      <c:pt idx="4">
                        <c:v>-3.9302358417946071</c:v>
                      </c:pt>
                      <c:pt idx="5">
                        <c:v>-4.7162830101535285</c:v>
                      </c:pt>
                      <c:pt idx="6">
                        <c:v>-5.5023301785124499</c:v>
                      </c:pt>
                      <c:pt idx="7">
                        <c:v>-6.2883773468713713</c:v>
                      </c:pt>
                      <c:pt idx="8">
                        <c:v>-7.0744245152302936</c:v>
                      </c:pt>
                      <c:pt idx="9">
                        <c:v>-7.8604716835892141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FD1-41D7-81A5-087F5C7ACA7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DIST=5,TONE=0,LEVEL=10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Sheet1!$C$10:$L$10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-0.86506067826840327</c:v>
                      </c:pt>
                      <c:pt idx="1">
                        <c:v>-1.7301213565368065</c:v>
                      </c:pt>
                      <c:pt idx="2">
                        <c:v>-2.5951820348052097</c:v>
                      </c:pt>
                      <c:pt idx="3">
                        <c:v>-3.4602427130736131</c:v>
                      </c:pt>
                      <c:pt idx="4">
                        <c:v>-4.3253033913420165</c:v>
                      </c:pt>
                      <c:pt idx="5">
                        <c:v>-5.1903640696104194</c:v>
                      </c:pt>
                      <c:pt idx="6">
                        <c:v>-6.0554247478788223</c:v>
                      </c:pt>
                      <c:pt idx="7">
                        <c:v>-6.9204854261472262</c:v>
                      </c:pt>
                      <c:pt idx="8">
                        <c:v>-7.7855461044156291</c:v>
                      </c:pt>
                      <c:pt idx="9">
                        <c:v>-8.6506067826840329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FD1-41D7-81A5-087F5C7ACA7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DIST=5,TONE=5,LEVEL=10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Sheet1!$C$12:$L$12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-0.63996880396778433</c:v>
                      </c:pt>
                      <c:pt idx="1">
                        <c:v>-1.2799376079355687</c:v>
                      </c:pt>
                      <c:pt idx="2">
                        <c:v>-1.9199064119033529</c:v>
                      </c:pt>
                      <c:pt idx="3">
                        <c:v>-2.5598752158711373</c:v>
                      </c:pt>
                      <c:pt idx="4">
                        <c:v>-3.1998440198389217</c:v>
                      </c:pt>
                      <c:pt idx="5">
                        <c:v>-3.8398128238067057</c:v>
                      </c:pt>
                      <c:pt idx="6">
                        <c:v>-4.4797816277744911</c:v>
                      </c:pt>
                      <c:pt idx="7">
                        <c:v>-5.1197504317422746</c:v>
                      </c:pt>
                      <c:pt idx="8">
                        <c:v>-5.7597192357100582</c:v>
                      </c:pt>
                      <c:pt idx="9">
                        <c:v>-6.3996880396778435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FD1-41D7-81A5-087F5C7ACA7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Sheet1!$A$16</c15:sqref>
                        </c15:formulaRef>
                      </c:ext>
                    </c:extLst>
                    <c:strCache>
                      <c:ptCount val="1"/>
                      <c:pt idx="0">
                        <c:v>DIST=10,TONE=0,LEVEL=10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Sheet1!$C$16:$L$16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-0.77154239706571714</c:v>
                      </c:pt>
                      <c:pt idx="1">
                        <c:v>-1.5430847941314343</c:v>
                      </c:pt>
                      <c:pt idx="2">
                        <c:v>-2.3146271911971517</c:v>
                      </c:pt>
                      <c:pt idx="3">
                        <c:v>-3.0861695882628686</c:v>
                      </c:pt>
                      <c:pt idx="4">
                        <c:v>-3.8577119853285859</c:v>
                      </c:pt>
                      <c:pt idx="5">
                        <c:v>-4.6292543823943033</c:v>
                      </c:pt>
                      <c:pt idx="6">
                        <c:v>-5.4007967794600198</c:v>
                      </c:pt>
                      <c:pt idx="7">
                        <c:v>-6.1723391765257372</c:v>
                      </c:pt>
                      <c:pt idx="8">
                        <c:v>-6.9438815735914536</c:v>
                      </c:pt>
                      <c:pt idx="9">
                        <c:v>-7.7154239706571719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FD1-41D7-81A5-087F5C7ACA7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Sheet1!$A$18</c15:sqref>
                        </c15:formulaRef>
                      </c:ext>
                    </c:extLst>
                    <c:strCache>
                      <c:ptCount val="1"/>
                      <c:pt idx="0">
                        <c:v>DIST=10,TONE=5,LEVEL=10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Sheet1!$C$18:$L$18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-0.53399980177424367</c:v>
                      </c:pt>
                      <c:pt idx="1">
                        <c:v>-1.0679996035484873</c:v>
                      </c:pt>
                      <c:pt idx="2">
                        <c:v>-1.6019994053227309</c:v>
                      </c:pt>
                      <c:pt idx="3">
                        <c:v>-2.1359992070969747</c:v>
                      </c:pt>
                      <c:pt idx="4">
                        <c:v>-2.6699990088712182</c:v>
                      </c:pt>
                      <c:pt idx="5">
                        <c:v>-3.2039988106454618</c:v>
                      </c:pt>
                      <c:pt idx="6">
                        <c:v>-3.7379986124197053</c:v>
                      </c:pt>
                      <c:pt idx="7">
                        <c:v>-4.2719984141939493</c:v>
                      </c:pt>
                      <c:pt idx="8">
                        <c:v>-4.8059982159681924</c:v>
                      </c:pt>
                      <c:pt idx="9">
                        <c:v>-5.3399980177424364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FD1-41D7-81A5-087F5C7ACA7C}"/>
                  </c:ext>
                </c:extLst>
              </c15:ser>
            </c15:filteredLineSeries>
          </c:ext>
        </c:extLst>
      </c:lineChart>
      <c:catAx>
        <c:axId val="105824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alt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octave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altLang="ja-JP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ja-JP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8246175"/>
        <c:crosses val="autoZero"/>
        <c:auto val="1"/>
        <c:lblAlgn val="ctr"/>
        <c:lblOffset val="100"/>
        <c:noMultiLvlLbl val="0"/>
      </c:catAx>
      <c:valAx>
        <c:axId val="105824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alt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altLang="ja-JP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ja-JP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824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ja-JP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altLang="ja-JP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615100986798485E-2"/>
          <c:y val="2.9585777709887656E-2"/>
          <c:w val="0.89111442492406345"/>
          <c:h val="0.78297461261540646"/>
        </c:manualLayout>
      </c:layout>
      <c:lineChart>
        <c:grouping val="standard"/>
        <c:varyColors val="0"/>
        <c:ser>
          <c:idx val="6"/>
          <c:order val="6"/>
          <c:tx>
            <c:strRef>
              <c:f>Sheet1!$A$16</c:f>
              <c:strCache>
                <c:ptCount val="1"/>
                <c:pt idx="0">
                  <c:v>DIST=10,TONE=0,LEVEL=10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Sheet1!$C$16:$L$16</c:f>
              <c:numCache>
                <c:formatCode>0.000</c:formatCode>
                <c:ptCount val="10"/>
                <c:pt idx="0">
                  <c:v>-0.77154239706571714</c:v>
                </c:pt>
                <c:pt idx="1">
                  <c:v>-1.5430847941314343</c:v>
                </c:pt>
                <c:pt idx="2">
                  <c:v>-2.3146271911971517</c:v>
                </c:pt>
                <c:pt idx="3">
                  <c:v>-3.0861695882628686</c:v>
                </c:pt>
                <c:pt idx="4">
                  <c:v>-3.8577119853285859</c:v>
                </c:pt>
                <c:pt idx="5">
                  <c:v>-4.6292543823943033</c:v>
                </c:pt>
                <c:pt idx="6">
                  <c:v>-5.4007967794600198</c:v>
                </c:pt>
                <c:pt idx="7">
                  <c:v>-6.1723391765257372</c:v>
                </c:pt>
                <c:pt idx="8">
                  <c:v>-6.9438815735914536</c:v>
                </c:pt>
                <c:pt idx="9">
                  <c:v>-7.7154239706571719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319-4931-A1B0-3ED9759C8C76}"/>
            </c:ext>
          </c:extLst>
        </c:ser>
        <c:ser>
          <c:idx val="7"/>
          <c:order val="7"/>
          <c:tx>
            <c:strRef>
              <c:f>Sheet1!$A$18</c:f>
              <c:strCache>
                <c:ptCount val="1"/>
                <c:pt idx="0">
                  <c:v>DIST=10,TONE=5,LEVEL=10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Sheet1!$C$18:$L$18</c:f>
              <c:numCache>
                <c:formatCode>0.000</c:formatCode>
                <c:ptCount val="10"/>
                <c:pt idx="0">
                  <c:v>-0.53399980177424367</c:v>
                </c:pt>
                <c:pt idx="1">
                  <c:v>-1.0679996035484873</c:v>
                </c:pt>
                <c:pt idx="2">
                  <c:v>-1.6019994053227309</c:v>
                </c:pt>
                <c:pt idx="3">
                  <c:v>-2.1359992070969747</c:v>
                </c:pt>
                <c:pt idx="4">
                  <c:v>-2.6699990088712182</c:v>
                </c:pt>
                <c:pt idx="5">
                  <c:v>-3.2039988106454618</c:v>
                </c:pt>
                <c:pt idx="6">
                  <c:v>-3.7379986124197053</c:v>
                </c:pt>
                <c:pt idx="7">
                  <c:v>-4.2719984141939493</c:v>
                </c:pt>
                <c:pt idx="8">
                  <c:v>-4.8059982159681924</c:v>
                </c:pt>
                <c:pt idx="9">
                  <c:v>-5.3399980177424364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319-4931-A1B0-3ED9759C8C76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DIST=10,TONE=10,LEVEL=10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Sheet1!$C$20:$L$20</c:f>
              <c:numCache>
                <c:formatCode>0.000</c:formatCode>
                <c:ptCount val="10"/>
                <c:pt idx="0">
                  <c:v>-0.52078191145256758</c:v>
                </c:pt>
                <c:pt idx="1">
                  <c:v>-1.0415638229051352</c:v>
                </c:pt>
                <c:pt idx="2">
                  <c:v>-1.562345734357703</c:v>
                </c:pt>
                <c:pt idx="3">
                  <c:v>-2.0831276458102703</c:v>
                </c:pt>
                <c:pt idx="4">
                  <c:v>-2.6039095572628383</c:v>
                </c:pt>
                <c:pt idx="5">
                  <c:v>-3.1246914687154059</c:v>
                </c:pt>
                <c:pt idx="6">
                  <c:v>-3.6454733801679731</c:v>
                </c:pt>
                <c:pt idx="7">
                  <c:v>-4.1662552916205406</c:v>
                </c:pt>
                <c:pt idx="8">
                  <c:v>-4.6870372030731087</c:v>
                </c:pt>
                <c:pt idx="9">
                  <c:v>-5.2078191145256767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319-4931-A1B0-3ED9759C8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244255"/>
        <c:axId val="10582461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DIST=0,TONE=0,LEVEL=10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Sheet1!$C$4:$L$4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-1.0070475763280518</c:v>
                      </c:pt>
                      <c:pt idx="1">
                        <c:v>-2.0140951526561035</c:v>
                      </c:pt>
                      <c:pt idx="2">
                        <c:v>-3.021142728984155</c:v>
                      </c:pt>
                      <c:pt idx="3">
                        <c:v>-4.028190305312207</c:v>
                      </c:pt>
                      <c:pt idx="4">
                        <c:v>-5.035237881640259</c:v>
                      </c:pt>
                      <c:pt idx="5">
                        <c:v>-6.0422854579683101</c:v>
                      </c:pt>
                      <c:pt idx="6">
                        <c:v>-7.0493330342963612</c:v>
                      </c:pt>
                      <c:pt idx="7">
                        <c:v>-8.056380610624414</c:v>
                      </c:pt>
                      <c:pt idx="8">
                        <c:v>-9.063428186952466</c:v>
                      </c:pt>
                      <c:pt idx="9">
                        <c:v>-10.070475763280518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319-4931-A1B0-3ED9759C8C7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DIST=0,TONE=5,LEVEL=10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Sheet1!$C$6:$L$6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-0.78604716835892141</c:v>
                      </c:pt>
                      <c:pt idx="1">
                        <c:v>-1.5720943367178428</c:v>
                      </c:pt>
                      <c:pt idx="2">
                        <c:v>-2.3581415050767642</c:v>
                      </c:pt>
                      <c:pt idx="3">
                        <c:v>-3.1441886734356856</c:v>
                      </c:pt>
                      <c:pt idx="4">
                        <c:v>-3.9302358417946071</c:v>
                      </c:pt>
                      <c:pt idx="5">
                        <c:v>-4.7162830101535285</c:v>
                      </c:pt>
                      <c:pt idx="6">
                        <c:v>-5.5023301785124499</c:v>
                      </c:pt>
                      <c:pt idx="7">
                        <c:v>-6.2883773468713713</c:v>
                      </c:pt>
                      <c:pt idx="8">
                        <c:v>-7.0744245152302936</c:v>
                      </c:pt>
                      <c:pt idx="9">
                        <c:v>-7.8604716835892141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319-4931-A1B0-3ED9759C8C7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Sheet1!$A$8</c15:sqref>
                        </c15:formulaRef>
                      </c:ext>
                    </c:extLst>
                    <c:strCache>
                      <c:ptCount val="1"/>
                      <c:pt idx="0">
                        <c:v>DIST=0,TONE=10,LEVEL=10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Sheet1!$C$8:$L$8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-0.7772005636888244</c:v>
                      </c:pt>
                      <c:pt idx="1">
                        <c:v>-1.5544011273776488</c:v>
                      </c:pt>
                      <c:pt idx="2">
                        <c:v>-2.3316016910664734</c:v>
                      </c:pt>
                      <c:pt idx="3">
                        <c:v>-3.1088022547552976</c:v>
                      </c:pt>
                      <c:pt idx="4">
                        <c:v>-3.8860028184441222</c:v>
                      </c:pt>
                      <c:pt idx="5">
                        <c:v>-4.6632033821329468</c:v>
                      </c:pt>
                      <c:pt idx="6">
                        <c:v>-5.440403945821771</c:v>
                      </c:pt>
                      <c:pt idx="7">
                        <c:v>-6.2176045095105952</c:v>
                      </c:pt>
                      <c:pt idx="8">
                        <c:v>-6.9948050731994202</c:v>
                      </c:pt>
                      <c:pt idx="9">
                        <c:v>-7.7720056368882444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319-4931-A1B0-3ED9759C8C7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DIST=5,TONE=0,LEVEL=10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Sheet1!$C$10:$L$10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-0.86506067826840327</c:v>
                      </c:pt>
                      <c:pt idx="1">
                        <c:v>-1.7301213565368065</c:v>
                      </c:pt>
                      <c:pt idx="2">
                        <c:v>-2.5951820348052097</c:v>
                      </c:pt>
                      <c:pt idx="3">
                        <c:v>-3.4602427130736131</c:v>
                      </c:pt>
                      <c:pt idx="4">
                        <c:v>-4.3253033913420165</c:v>
                      </c:pt>
                      <c:pt idx="5">
                        <c:v>-5.1903640696104194</c:v>
                      </c:pt>
                      <c:pt idx="6">
                        <c:v>-6.0554247478788223</c:v>
                      </c:pt>
                      <c:pt idx="7">
                        <c:v>-6.9204854261472262</c:v>
                      </c:pt>
                      <c:pt idx="8">
                        <c:v>-7.7855461044156291</c:v>
                      </c:pt>
                      <c:pt idx="9">
                        <c:v>-8.6506067826840329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319-4931-A1B0-3ED9759C8C7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DIST=5,TONE=5,LEVEL=10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Sheet1!$C$12:$L$12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-0.63996880396778433</c:v>
                      </c:pt>
                      <c:pt idx="1">
                        <c:v>-1.2799376079355687</c:v>
                      </c:pt>
                      <c:pt idx="2">
                        <c:v>-1.9199064119033529</c:v>
                      </c:pt>
                      <c:pt idx="3">
                        <c:v>-2.5598752158711373</c:v>
                      </c:pt>
                      <c:pt idx="4">
                        <c:v>-3.1998440198389217</c:v>
                      </c:pt>
                      <c:pt idx="5">
                        <c:v>-3.8398128238067057</c:v>
                      </c:pt>
                      <c:pt idx="6">
                        <c:v>-4.4797816277744911</c:v>
                      </c:pt>
                      <c:pt idx="7">
                        <c:v>-5.1197504317422746</c:v>
                      </c:pt>
                      <c:pt idx="8">
                        <c:v>-5.7597192357100582</c:v>
                      </c:pt>
                      <c:pt idx="9">
                        <c:v>-6.3996880396778435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319-4931-A1B0-3ED9759C8C7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Sheet1!$A$14</c15:sqref>
                        </c15:formulaRef>
                      </c:ext>
                    </c:extLst>
                    <c:strCache>
                      <c:ptCount val="1"/>
                      <c:pt idx="0">
                        <c:v>DIST=5,TONE=10,LEVEL=10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Sheet1!$C$14:$L$14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-0.62582207194459483</c:v>
                      </c:pt>
                      <c:pt idx="1">
                        <c:v>-1.2516441438891897</c:v>
                      </c:pt>
                      <c:pt idx="2">
                        <c:v>-1.8774662158337847</c:v>
                      </c:pt>
                      <c:pt idx="3">
                        <c:v>-2.5032882877783793</c:v>
                      </c:pt>
                      <c:pt idx="4">
                        <c:v>-3.1291103597229739</c:v>
                      </c:pt>
                      <c:pt idx="5">
                        <c:v>-3.7549324316675694</c:v>
                      </c:pt>
                      <c:pt idx="6">
                        <c:v>-4.380754503612164</c:v>
                      </c:pt>
                      <c:pt idx="7">
                        <c:v>-5.0065765755567586</c:v>
                      </c:pt>
                      <c:pt idx="8">
                        <c:v>-5.6323986475013532</c:v>
                      </c:pt>
                      <c:pt idx="9">
                        <c:v>-6.2582207194459478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319-4931-A1B0-3ED9759C8C76}"/>
                  </c:ext>
                </c:extLst>
              </c15:ser>
            </c15:filteredLineSeries>
          </c:ext>
        </c:extLst>
      </c:lineChart>
      <c:catAx>
        <c:axId val="105824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alt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octave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altLang="ja-JP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ja-JP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8246175"/>
        <c:crosses val="autoZero"/>
        <c:auto val="1"/>
        <c:lblAlgn val="ctr"/>
        <c:lblOffset val="100"/>
        <c:noMultiLvlLbl val="0"/>
      </c:catAx>
      <c:valAx>
        <c:axId val="105824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alt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altLang="ja-JP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ja-JP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824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ja-JP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altLang="ja-JP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89535</xdr:colOff>
      <xdr:row>0</xdr:row>
      <xdr:rowOff>106680</xdr:rowOff>
    </xdr:from>
    <xdr:to>
      <xdr:col>24</xdr:col>
      <xdr:colOff>499935</xdr:colOff>
      <xdr:row>28</xdr:row>
      <xdr:rowOff>166080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78BDC5D-8FF8-9CEF-F6ED-F709FCDF3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1591236</xdr:colOff>
      <xdr:row>20</xdr:row>
      <xdr:rowOff>67235</xdr:rowOff>
    </xdr:from>
    <xdr:to>
      <xdr:col>11</xdr:col>
      <xdr:colOff>645724</xdr:colOff>
      <xdr:row>48</xdr:row>
      <xdr:rowOff>126636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E8963752-A4C1-4EA3-A6EB-103F5BA36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89647</xdr:colOff>
      <xdr:row>29</xdr:row>
      <xdr:rowOff>33617</xdr:rowOff>
    </xdr:from>
    <xdr:to>
      <xdr:col>24</xdr:col>
      <xdr:colOff>500047</xdr:colOff>
      <xdr:row>57</xdr:row>
      <xdr:rowOff>93018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5260DFFF-5D3C-4292-8784-1339EC5B92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topLeftCell="B1" zoomScale="85" zoomScaleNormal="85" workbookViewId="0">
      <selection activeCell="F15" sqref="F15"/>
    </sheetView>
  </sheetViews>
  <sheetFormatPr defaultRowHeight="13.5" x14ac:dyDescent="0.15"/>
  <cols>
    <col min="1" max="1" width="29.25" bestFit="1" customWidth="1"/>
    <col min="2" max="2" width="15.375" bestFit="1" customWidth="1"/>
  </cols>
  <sheetData>
    <row r="1" spans="1:12" x14ac:dyDescent="0.15">
      <c r="A1" s="2"/>
      <c r="B1" s="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15">
      <c r="A2" t="s">
        <v>1</v>
      </c>
      <c r="B2" s="4">
        <v>-1.5621893796555349E-3</v>
      </c>
      <c r="C2" s="3">
        <f>C$1*$B2*440</f>
        <v>-0.68736332704843539</v>
      </c>
      <c r="D2" s="3">
        <f t="shared" ref="D2:L17" si="0">D$1*$B2*440</f>
        <v>-1.3747266540968708</v>
      </c>
      <c r="E2" s="3">
        <f t="shared" si="0"/>
        <v>-2.0620899811453062</v>
      </c>
      <c r="F2" s="3">
        <f t="shared" si="0"/>
        <v>-2.7494533081937416</v>
      </c>
      <c r="G2" s="3">
        <f t="shared" si="0"/>
        <v>-3.436816635242177</v>
      </c>
      <c r="H2" s="3">
        <f t="shared" si="0"/>
        <v>-4.1241799622906123</v>
      </c>
      <c r="I2" s="3">
        <f t="shared" si="0"/>
        <v>-4.8115432893390473</v>
      </c>
      <c r="J2" s="3">
        <f t="shared" si="0"/>
        <v>-5.4989066163874831</v>
      </c>
      <c r="K2" s="3">
        <f t="shared" si="0"/>
        <v>-6.1862699434359181</v>
      </c>
      <c r="L2" s="3">
        <f t="shared" si="0"/>
        <v>-6.8736332704843539</v>
      </c>
    </row>
    <row r="3" spans="1:12" x14ac:dyDescent="0.15">
      <c r="A3" t="s">
        <v>2</v>
      </c>
      <c r="B3" s="4">
        <v>-2.3062126814676139E-3</v>
      </c>
      <c r="C3" s="3">
        <f t="shared" ref="C3:L20" si="1">C$1*$B3*440</f>
        <v>-1.0147335798457502</v>
      </c>
      <c r="D3" s="3">
        <f t="shared" si="0"/>
        <v>-2.0294671596915004</v>
      </c>
      <c r="E3" s="3">
        <f t="shared" si="0"/>
        <v>-3.0442007395372506</v>
      </c>
      <c r="F3" s="3">
        <f t="shared" si="0"/>
        <v>-4.0589343193830008</v>
      </c>
      <c r="G3" s="3">
        <f t="shared" si="0"/>
        <v>-5.0736678992287505</v>
      </c>
      <c r="H3" s="3">
        <f t="shared" si="0"/>
        <v>-6.0884014790745011</v>
      </c>
      <c r="I3" s="3">
        <f t="shared" si="0"/>
        <v>-7.1031350589202509</v>
      </c>
      <c r="J3" s="3">
        <f t="shared" si="0"/>
        <v>-8.1178686387660015</v>
      </c>
      <c r="K3" s="3">
        <f t="shared" si="0"/>
        <v>-9.1326022186117513</v>
      </c>
      <c r="L3" s="3">
        <f t="shared" si="0"/>
        <v>-10.147335798457501</v>
      </c>
    </row>
    <row r="4" spans="1:12" x14ac:dyDescent="0.15">
      <c r="A4" t="s">
        <v>3</v>
      </c>
      <c r="B4" s="4">
        <v>-2.2887444916546628E-3</v>
      </c>
      <c r="C4" s="3">
        <f t="shared" si="1"/>
        <v>-1.0070475763280518</v>
      </c>
      <c r="D4" s="3">
        <f t="shared" si="0"/>
        <v>-2.0140951526561035</v>
      </c>
      <c r="E4" s="3">
        <f t="shared" si="0"/>
        <v>-3.021142728984155</v>
      </c>
      <c r="F4" s="3">
        <f t="shared" si="0"/>
        <v>-4.028190305312207</v>
      </c>
      <c r="G4" s="3">
        <f t="shared" si="0"/>
        <v>-5.035237881640259</v>
      </c>
      <c r="H4" s="3">
        <f t="shared" si="0"/>
        <v>-6.0422854579683101</v>
      </c>
      <c r="I4" s="3">
        <f t="shared" si="0"/>
        <v>-7.0493330342963612</v>
      </c>
      <c r="J4" s="3">
        <f t="shared" si="0"/>
        <v>-8.056380610624414</v>
      </c>
      <c r="K4" s="3">
        <f t="shared" si="0"/>
        <v>-9.063428186952466</v>
      </c>
      <c r="L4" s="3">
        <f t="shared" si="0"/>
        <v>-10.070475763280518</v>
      </c>
    </row>
    <row r="5" spans="1:12" x14ac:dyDescent="0.15">
      <c r="A5" t="s">
        <v>4</v>
      </c>
      <c r="B5" s="4">
        <v>-1.8019292011937529E-3</v>
      </c>
      <c r="C5" s="3">
        <f t="shared" si="1"/>
        <v>-0.79284884852525128</v>
      </c>
      <c r="D5" s="3">
        <f t="shared" si="0"/>
        <v>-1.5856976970505026</v>
      </c>
      <c r="E5" s="3">
        <f t="shared" si="0"/>
        <v>-2.3785465455757535</v>
      </c>
      <c r="F5" s="3">
        <f t="shared" si="0"/>
        <v>-3.1713953941010051</v>
      </c>
      <c r="G5" s="3">
        <f t="shared" si="0"/>
        <v>-3.9642442426262567</v>
      </c>
      <c r="H5" s="3">
        <f t="shared" si="0"/>
        <v>-4.757093091151507</v>
      </c>
      <c r="I5" s="3">
        <f t="shared" si="0"/>
        <v>-5.5499419396767591</v>
      </c>
      <c r="J5" s="3">
        <f t="shared" si="0"/>
        <v>-6.3427907882020103</v>
      </c>
      <c r="K5" s="3">
        <f t="shared" si="0"/>
        <v>-7.1356396367272614</v>
      </c>
      <c r="L5" s="3">
        <f t="shared" si="0"/>
        <v>-7.9284884852525135</v>
      </c>
    </row>
    <row r="6" spans="1:12" x14ac:dyDescent="0.15">
      <c r="A6" t="s">
        <v>5</v>
      </c>
      <c r="B6" s="4">
        <v>-1.7864708371793669E-3</v>
      </c>
      <c r="C6" s="3">
        <f t="shared" si="1"/>
        <v>-0.78604716835892141</v>
      </c>
      <c r="D6" s="3">
        <f t="shared" si="0"/>
        <v>-1.5720943367178428</v>
      </c>
      <c r="E6" s="3">
        <f t="shared" si="0"/>
        <v>-2.3581415050767642</v>
      </c>
      <c r="F6" s="3">
        <f t="shared" si="0"/>
        <v>-3.1441886734356856</v>
      </c>
      <c r="G6" s="3">
        <f t="shared" si="0"/>
        <v>-3.9302358417946071</v>
      </c>
      <c r="H6" s="3">
        <f t="shared" si="0"/>
        <v>-4.7162830101535285</v>
      </c>
      <c r="I6" s="3">
        <f t="shared" si="0"/>
        <v>-5.5023301785124499</v>
      </c>
      <c r="J6" s="3">
        <f t="shared" si="0"/>
        <v>-6.2883773468713713</v>
      </c>
      <c r="K6" s="3">
        <f t="shared" si="0"/>
        <v>-7.0744245152302936</v>
      </c>
      <c r="L6" s="3">
        <f t="shared" si="0"/>
        <v>-7.8604716835892141</v>
      </c>
    </row>
    <row r="7" spans="1:12" x14ac:dyDescent="0.15">
      <c r="A7" t="s">
        <v>6</v>
      </c>
      <c r="B7" s="4">
        <v>-1.7681755680996069E-3</v>
      </c>
      <c r="C7" s="3">
        <f t="shared" si="1"/>
        <v>-0.77799724996382702</v>
      </c>
      <c r="D7" s="3">
        <f t="shared" si="0"/>
        <v>-1.555994499927654</v>
      </c>
      <c r="E7" s="3">
        <f t="shared" si="0"/>
        <v>-2.3339917498914811</v>
      </c>
      <c r="F7" s="3">
        <f t="shared" si="0"/>
        <v>-3.1119889998553081</v>
      </c>
      <c r="G7" s="3">
        <f t="shared" si="0"/>
        <v>-3.8899862498191351</v>
      </c>
      <c r="H7" s="3">
        <f t="shared" si="0"/>
        <v>-4.6679834997829621</v>
      </c>
      <c r="I7" s="3">
        <f t="shared" si="0"/>
        <v>-5.4459807497467887</v>
      </c>
      <c r="J7" s="3">
        <f t="shared" si="0"/>
        <v>-6.2239779997106162</v>
      </c>
      <c r="K7" s="3">
        <f t="shared" si="0"/>
        <v>-7.0019752496744436</v>
      </c>
      <c r="L7" s="3">
        <f t="shared" si="0"/>
        <v>-7.7799724996382702</v>
      </c>
    </row>
    <row r="8" spans="1:12" x14ac:dyDescent="0.15">
      <c r="A8" t="s">
        <v>7</v>
      </c>
      <c r="B8" s="4">
        <v>-1.7663649174746009E-3</v>
      </c>
      <c r="C8" s="3">
        <f t="shared" si="1"/>
        <v>-0.7772005636888244</v>
      </c>
      <c r="D8" s="3">
        <f t="shared" si="0"/>
        <v>-1.5544011273776488</v>
      </c>
      <c r="E8" s="3">
        <f t="shared" si="0"/>
        <v>-2.3316016910664734</v>
      </c>
      <c r="F8" s="3">
        <f t="shared" si="0"/>
        <v>-3.1088022547552976</v>
      </c>
      <c r="G8" s="3">
        <f t="shared" si="0"/>
        <v>-3.8860028184441222</v>
      </c>
      <c r="H8" s="3">
        <f t="shared" si="0"/>
        <v>-4.6632033821329468</v>
      </c>
      <c r="I8" s="3">
        <f t="shared" si="0"/>
        <v>-5.440403945821771</v>
      </c>
      <c r="J8" s="3">
        <f t="shared" si="0"/>
        <v>-6.2176045095105952</v>
      </c>
      <c r="K8" s="3">
        <f t="shared" si="0"/>
        <v>-6.9948050731994202</v>
      </c>
      <c r="L8" s="3">
        <f t="shared" si="0"/>
        <v>-7.7720056368882444</v>
      </c>
    </row>
    <row r="9" spans="1:12" x14ac:dyDescent="0.15">
      <c r="A9" t="s">
        <v>8</v>
      </c>
      <c r="B9" s="4">
        <v>-2.0379923568541701E-3</v>
      </c>
      <c r="C9" s="3">
        <f t="shared" si="1"/>
        <v>-0.89671663701583482</v>
      </c>
      <c r="D9" s="3">
        <f t="shared" si="0"/>
        <v>-1.7934332740316696</v>
      </c>
      <c r="E9" s="3">
        <f t="shared" si="0"/>
        <v>-2.6901499110475044</v>
      </c>
      <c r="F9" s="3">
        <f t="shared" si="0"/>
        <v>-3.5868665480633393</v>
      </c>
      <c r="G9" s="3">
        <f t="shared" si="0"/>
        <v>-4.4835831850791745</v>
      </c>
      <c r="H9" s="3">
        <f t="shared" si="0"/>
        <v>-5.3802998220950089</v>
      </c>
      <c r="I9" s="3">
        <f t="shared" si="0"/>
        <v>-6.2770164591108442</v>
      </c>
      <c r="J9" s="3">
        <f t="shared" si="0"/>
        <v>-7.1737330961266785</v>
      </c>
      <c r="K9" s="3">
        <f t="shared" si="0"/>
        <v>-8.0704497331425138</v>
      </c>
      <c r="L9" s="3">
        <f t="shared" si="0"/>
        <v>-8.9671663701583491</v>
      </c>
    </row>
    <row r="10" spans="1:12" x14ac:dyDescent="0.15">
      <c r="A10" t="s">
        <v>9</v>
      </c>
      <c r="B10" s="4">
        <v>-1.9660469960645528E-3</v>
      </c>
      <c r="C10" s="3">
        <f t="shared" si="1"/>
        <v>-0.86506067826840327</v>
      </c>
      <c r="D10" s="3">
        <f t="shared" si="0"/>
        <v>-1.7301213565368065</v>
      </c>
      <c r="E10" s="3">
        <f t="shared" si="0"/>
        <v>-2.5951820348052097</v>
      </c>
      <c r="F10" s="3">
        <f t="shared" si="0"/>
        <v>-3.4602427130736131</v>
      </c>
      <c r="G10" s="3">
        <f t="shared" si="0"/>
        <v>-4.3253033913420165</v>
      </c>
      <c r="H10" s="3">
        <f t="shared" si="0"/>
        <v>-5.1903640696104194</v>
      </c>
      <c r="I10" s="3">
        <f t="shared" si="0"/>
        <v>-6.0554247478788223</v>
      </c>
      <c r="J10" s="3">
        <f t="shared" si="0"/>
        <v>-6.9204854261472262</v>
      </c>
      <c r="K10" s="3">
        <f t="shared" si="0"/>
        <v>-7.7855461044156291</v>
      </c>
      <c r="L10" s="3">
        <f t="shared" si="0"/>
        <v>-8.6506067826840329</v>
      </c>
    </row>
    <row r="11" spans="1:12" x14ac:dyDescent="0.15">
      <c r="A11" t="s">
        <v>10</v>
      </c>
      <c r="B11" s="4">
        <v>-1.476258040384129E-3</v>
      </c>
      <c r="C11" s="3">
        <f t="shared" si="1"/>
        <v>-0.64955353776901681</v>
      </c>
      <c r="D11" s="3">
        <f t="shared" si="0"/>
        <v>-1.2991070755380336</v>
      </c>
      <c r="E11" s="3">
        <f t="shared" si="0"/>
        <v>-1.9486606133070501</v>
      </c>
      <c r="F11" s="3">
        <f t="shared" si="0"/>
        <v>-2.5982141510760672</v>
      </c>
      <c r="G11" s="3">
        <f t="shared" si="0"/>
        <v>-3.2477676888450842</v>
      </c>
      <c r="H11" s="3">
        <f t="shared" si="0"/>
        <v>-3.8973212266141002</v>
      </c>
      <c r="I11" s="3">
        <f t="shared" si="0"/>
        <v>-4.5468747643831176</v>
      </c>
      <c r="J11" s="3">
        <f t="shared" si="0"/>
        <v>-5.1964283021521345</v>
      </c>
      <c r="K11" s="3">
        <f t="shared" si="0"/>
        <v>-5.8459818399211514</v>
      </c>
      <c r="L11" s="3">
        <f t="shared" si="0"/>
        <v>-6.4955353776901683</v>
      </c>
    </row>
    <row r="12" spans="1:12" x14ac:dyDescent="0.15">
      <c r="A12" t="s">
        <v>11</v>
      </c>
      <c r="B12" s="4">
        <v>-1.4544745544722371E-3</v>
      </c>
      <c r="C12" s="3">
        <f t="shared" si="1"/>
        <v>-0.63996880396778433</v>
      </c>
      <c r="D12" s="3">
        <f t="shared" si="0"/>
        <v>-1.2799376079355687</v>
      </c>
      <c r="E12" s="3">
        <f t="shared" si="0"/>
        <v>-1.9199064119033529</v>
      </c>
      <c r="F12" s="3">
        <f t="shared" si="0"/>
        <v>-2.5598752158711373</v>
      </c>
      <c r="G12" s="3">
        <f t="shared" si="0"/>
        <v>-3.1998440198389217</v>
      </c>
      <c r="H12" s="3">
        <f t="shared" si="0"/>
        <v>-3.8398128238067057</v>
      </c>
      <c r="I12" s="3">
        <f t="shared" si="0"/>
        <v>-4.4797816277744911</v>
      </c>
      <c r="J12" s="3">
        <f t="shared" si="0"/>
        <v>-5.1197504317422746</v>
      </c>
      <c r="K12" s="3">
        <f t="shared" si="0"/>
        <v>-5.7597192357100582</v>
      </c>
      <c r="L12" s="3">
        <f t="shared" si="0"/>
        <v>-6.3996880396778435</v>
      </c>
    </row>
    <row r="13" spans="1:12" x14ac:dyDescent="0.15">
      <c r="A13" t="s">
        <v>12</v>
      </c>
      <c r="B13" s="4">
        <v>-1.4389748569018871E-3</v>
      </c>
      <c r="C13" s="3">
        <f t="shared" si="1"/>
        <v>-0.63314893703683028</v>
      </c>
      <c r="D13" s="3">
        <f t="shared" si="0"/>
        <v>-1.2662978740736606</v>
      </c>
      <c r="E13" s="3">
        <f t="shared" si="0"/>
        <v>-1.899446811110491</v>
      </c>
      <c r="F13" s="3">
        <f t="shared" si="0"/>
        <v>-2.5325957481473211</v>
      </c>
      <c r="G13" s="3">
        <f t="shared" si="0"/>
        <v>-3.1657446851841518</v>
      </c>
      <c r="H13" s="3">
        <f t="shared" si="0"/>
        <v>-3.7988936222209819</v>
      </c>
      <c r="I13" s="3">
        <f t="shared" si="0"/>
        <v>-4.4320425592578125</v>
      </c>
      <c r="J13" s="3">
        <f t="shared" si="0"/>
        <v>-5.0651914962946423</v>
      </c>
      <c r="K13" s="3">
        <f t="shared" si="0"/>
        <v>-5.6983404333314729</v>
      </c>
      <c r="L13" s="3">
        <f t="shared" si="0"/>
        <v>-6.3314893703683035</v>
      </c>
    </row>
    <row r="14" spans="1:12" x14ac:dyDescent="0.15">
      <c r="A14" t="s">
        <v>13</v>
      </c>
      <c r="B14" s="4">
        <v>-1.4223228907831701E-3</v>
      </c>
      <c r="C14" s="3">
        <f>C$1*$B14*440</f>
        <v>-0.62582207194459483</v>
      </c>
      <c r="D14" s="3">
        <f t="shared" si="0"/>
        <v>-1.2516441438891897</v>
      </c>
      <c r="E14" s="3">
        <f t="shared" si="0"/>
        <v>-1.8774662158337847</v>
      </c>
      <c r="F14" s="3">
        <f t="shared" si="0"/>
        <v>-2.5032882877783793</v>
      </c>
      <c r="G14" s="3">
        <f t="shared" si="0"/>
        <v>-3.1291103597229739</v>
      </c>
      <c r="H14" s="3">
        <f t="shared" si="0"/>
        <v>-3.7549324316675694</v>
      </c>
      <c r="I14" s="3">
        <f t="shared" si="0"/>
        <v>-4.380754503612164</v>
      </c>
      <c r="J14" s="3">
        <f t="shared" si="0"/>
        <v>-5.0065765755567586</v>
      </c>
      <c r="K14" s="3">
        <f t="shared" si="0"/>
        <v>-5.6323986475013532</v>
      </c>
      <c r="L14" s="3">
        <f t="shared" si="0"/>
        <v>-6.2582207194459478</v>
      </c>
    </row>
    <row r="15" spans="1:12" x14ac:dyDescent="0.15">
      <c r="A15" t="s">
        <v>14</v>
      </c>
      <c r="B15" s="4">
        <v>-1.7611132005653581E-3</v>
      </c>
      <c r="C15" s="3">
        <f t="shared" si="1"/>
        <v>-0.77488980824875753</v>
      </c>
      <c r="D15" s="3">
        <f t="shared" si="0"/>
        <v>-1.5497796164975151</v>
      </c>
      <c r="E15" s="3">
        <f t="shared" si="0"/>
        <v>-2.3246694247462729</v>
      </c>
      <c r="F15" s="3">
        <f t="shared" si="0"/>
        <v>-3.0995592329950301</v>
      </c>
      <c r="G15" s="3">
        <f t="shared" si="0"/>
        <v>-3.8744490412437878</v>
      </c>
      <c r="H15" s="3">
        <f t="shared" si="0"/>
        <v>-4.6493388494925458</v>
      </c>
      <c r="I15" s="3">
        <f t="shared" si="0"/>
        <v>-5.4242286577413035</v>
      </c>
      <c r="J15" s="3">
        <f t="shared" si="0"/>
        <v>-6.1991184659900602</v>
      </c>
      <c r="K15" s="3">
        <f t="shared" si="0"/>
        <v>-6.9740082742388179</v>
      </c>
      <c r="L15" s="3">
        <f t="shared" si="0"/>
        <v>-7.7488980824875755</v>
      </c>
    </row>
    <row r="16" spans="1:12" x14ac:dyDescent="0.15">
      <c r="A16" t="s">
        <v>15</v>
      </c>
      <c r="B16" s="4">
        <v>-1.7535054478766299E-3</v>
      </c>
      <c r="C16" s="3">
        <f>C$1*$B16*440</f>
        <v>-0.77154239706571714</v>
      </c>
      <c r="D16" s="3">
        <f t="shared" si="0"/>
        <v>-1.5430847941314343</v>
      </c>
      <c r="E16" s="3">
        <f t="shared" si="0"/>
        <v>-2.3146271911971517</v>
      </c>
      <c r="F16" s="3">
        <f t="shared" si="0"/>
        <v>-3.0861695882628686</v>
      </c>
      <c r="G16" s="3">
        <f t="shared" si="0"/>
        <v>-3.8577119853285859</v>
      </c>
      <c r="H16" s="3">
        <f t="shared" si="0"/>
        <v>-4.6292543823943033</v>
      </c>
      <c r="I16" s="3">
        <f t="shared" si="0"/>
        <v>-5.4007967794600198</v>
      </c>
      <c r="J16" s="3">
        <f t="shared" si="0"/>
        <v>-6.1723391765257372</v>
      </c>
      <c r="K16" s="3">
        <f t="shared" si="0"/>
        <v>-6.9438815735914536</v>
      </c>
      <c r="L16" s="3">
        <f t="shared" si="0"/>
        <v>-7.7154239706571719</v>
      </c>
    </row>
    <row r="17" spans="1:12" x14ac:dyDescent="0.15">
      <c r="A17" t="s">
        <v>16</v>
      </c>
      <c r="B17" s="4">
        <v>-1.2324163896812079E-3</v>
      </c>
      <c r="C17" s="3">
        <f t="shared" si="1"/>
        <v>-0.54226321145973144</v>
      </c>
      <c r="D17" s="3">
        <f t="shared" si="0"/>
        <v>-1.0845264229194629</v>
      </c>
      <c r="E17" s="3">
        <f t="shared" si="0"/>
        <v>-1.6267896343791945</v>
      </c>
      <c r="F17" s="3">
        <f t="shared" si="0"/>
        <v>-2.1690528458389258</v>
      </c>
      <c r="G17" s="3">
        <f t="shared" si="0"/>
        <v>-2.7113160572986574</v>
      </c>
      <c r="H17" s="3">
        <f t="shared" si="0"/>
        <v>-3.2535792687583891</v>
      </c>
      <c r="I17" s="3">
        <f t="shared" si="0"/>
        <v>-3.7958424802181208</v>
      </c>
      <c r="J17" s="3">
        <f t="shared" si="0"/>
        <v>-4.3381056916778515</v>
      </c>
      <c r="K17" s="3">
        <f t="shared" si="0"/>
        <v>-4.8803689031375832</v>
      </c>
      <c r="L17" s="3">
        <f t="shared" si="0"/>
        <v>-5.4226321145973149</v>
      </c>
    </row>
    <row r="18" spans="1:12" x14ac:dyDescent="0.15">
      <c r="A18" t="s">
        <v>17</v>
      </c>
      <c r="B18" s="4">
        <v>-1.213635913123281E-3</v>
      </c>
      <c r="C18" s="3">
        <f>C$1*$B18*440</f>
        <v>-0.53399980177424367</v>
      </c>
      <c r="D18" s="3">
        <f t="shared" si="1"/>
        <v>-1.0679996035484873</v>
      </c>
      <c r="E18" s="3">
        <f t="shared" si="1"/>
        <v>-1.6019994053227309</v>
      </c>
      <c r="F18" s="3">
        <f t="shared" si="1"/>
        <v>-2.1359992070969747</v>
      </c>
      <c r="G18" s="3">
        <f t="shared" si="1"/>
        <v>-2.6699990088712182</v>
      </c>
      <c r="H18" s="3">
        <f t="shared" si="1"/>
        <v>-3.2039988106454618</v>
      </c>
      <c r="I18" s="3">
        <f t="shared" si="1"/>
        <v>-3.7379986124197053</v>
      </c>
      <c r="J18" s="3">
        <f t="shared" si="1"/>
        <v>-4.2719984141939493</v>
      </c>
      <c r="K18" s="3">
        <f t="shared" si="1"/>
        <v>-4.8059982159681924</v>
      </c>
      <c r="L18" s="3">
        <f t="shared" si="1"/>
        <v>-5.3399980177424364</v>
      </c>
    </row>
    <row r="19" spans="1:12" x14ac:dyDescent="0.15">
      <c r="A19" t="s">
        <v>18</v>
      </c>
      <c r="B19" s="4">
        <v>-1.198247479439403E-3</v>
      </c>
      <c r="C19" s="3">
        <f t="shared" si="1"/>
        <v>-0.52722889095333736</v>
      </c>
      <c r="D19" s="3">
        <f t="shared" si="1"/>
        <v>-1.0544577819066747</v>
      </c>
      <c r="E19" s="3">
        <f t="shared" si="1"/>
        <v>-1.5816866728600121</v>
      </c>
      <c r="F19" s="3">
        <f t="shared" si="1"/>
        <v>-2.1089155638133494</v>
      </c>
      <c r="G19" s="3">
        <f t="shared" si="1"/>
        <v>-2.6361444547666864</v>
      </c>
      <c r="H19" s="3">
        <f t="shared" si="1"/>
        <v>-3.1633733457200242</v>
      </c>
      <c r="I19" s="3">
        <f t="shared" si="1"/>
        <v>-3.6906022366733615</v>
      </c>
      <c r="J19" s="3">
        <f t="shared" si="1"/>
        <v>-4.2178311276266989</v>
      </c>
      <c r="K19" s="3">
        <f t="shared" si="1"/>
        <v>-4.7450600185800358</v>
      </c>
      <c r="L19" s="3">
        <f t="shared" si="1"/>
        <v>-5.2722889095333727</v>
      </c>
    </row>
    <row r="20" spans="1:12" x14ac:dyDescent="0.15">
      <c r="A20" t="s">
        <v>19</v>
      </c>
      <c r="B20" s="4">
        <v>-1.1835952533012901E-3</v>
      </c>
      <c r="C20" s="3">
        <f>C$1*$B20*440</f>
        <v>-0.52078191145256758</v>
      </c>
      <c r="D20" s="3">
        <f t="shared" si="1"/>
        <v>-1.0415638229051352</v>
      </c>
      <c r="E20" s="3">
        <f t="shared" si="1"/>
        <v>-1.562345734357703</v>
      </c>
      <c r="F20" s="3">
        <f t="shared" si="1"/>
        <v>-2.0831276458102703</v>
      </c>
      <c r="G20" s="3">
        <f t="shared" si="1"/>
        <v>-2.6039095572628383</v>
      </c>
      <c r="H20" s="3">
        <f t="shared" si="1"/>
        <v>-3.1246914687154059</v>
      </c>
      <c r="I20" s="3">
        <f t="shared" si="1"/>
        <v>-3.6454733801679731</v>
      </c>
      <c r="J20" s="3">
        <f t="shared" si="1"/>
        <v>-4.1662552916205406</v>
      </c>
      <c r="K20" s="3">
        <f t="shared" si="1"/>
        <v>-4.6870372030731087</v>
      </c>
      <c r="L20" s="3">
        <f t="shared" si="1"/>
        <v>-5.2078191145256767</v>
      </c>
    </row>
    <row r="26" spans="1:12" x14ac:dyDescent="0.15">
      <c r="G26">
        <f>9*1.5</f>
        <v>13.5</v>
      </c>
    </row>
    <row r="27" spans="1:12" x14ac:dyDescent="0.15">
      <c r="G27">
        <f>16*1.5</f>
        <v>24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2024-12-29T13:17:51Z</dcterms:created>
  <dcterms:modified xsi:type="dcterms:W3CDTF">2025-01-09T12:32:20Z</dcterms:modified>
</cp:coreProperties>
</file>