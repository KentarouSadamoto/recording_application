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Research\recording_application\spectral_slope\"/>
    </mc:Choice>
  </mc:AlternateContent>
  <xr:revisionPtr revIDLastSave="0" documentId="13_ncr:1_{B4646944-136A-4697-98BF-81353611E0D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D1" i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N18" i="1" l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C18" i="1"/>
  <c r="D18" i="1"/>
  <c r="E18" i="1"/>
  <c r="F18" i="1"/>
  <c r="G18" i="1"/>
  <c r="H18" i="1"/>
  <c r="I18" i="1"/>
  <c r="J18" i="1"/>
  <c r="K18" i="1"/>
  <c r="L18" i="1"/>
  <c r="M18" i="1"/>
  <c r="O18" i="1"/>
  <c r="P18" i="1"/>
  <c r="Q18" i="1"/>
  <c r="R18" i="1"/>
  <c r="S18" i="1"/>
  <c r="T18" i="1"/>
  <c r="U18" i="1"/>
  <c r="V18" i="1"/>
  <c r="W18" i="1"/>
  <c r="X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</calcChain>
</file>

<file path=xl/sharedStrings.xml><?xml version="1.0" encoding="utf-8"?>
<sst xmlns="http://schemas.openxmlformats.org/spreadsheetml/2006/main" count="20" uniqueCount="20">
  <si>
    <t>スペクトル傾斜</t>
  </si>
  <si>
    <t>DIST=0,TONE=0,LEVEL=0</t>
  </si>
  <si>
    <t>DIST=0,TONE=0,LEVEL=5</t>
  </si>
  <si>
    <t>DIST=0,TONE=0,LEVEL=10</t>
  </si>
  <si>
    <t>DIST=0,TONE=5,LEVEL=5</t>
  </si>
  <si>
    <t>DIST=0,TONE=5,LEVEL=10</t>
  </si>
  <si>
    <t>DIST=0,TONE=10,LEVEL=5</t>
  </si>
  <si>
    <t>DIST=0,TONE=10,LEVEL=10</t>
  </si>
  <si>
    <t>DIST=5,TONE=0,LEVEL=5</t>
  </si>
  <si>
    <t>DIST=5,TONE=0,LEVEL=10</t>
  </si>
  <si>
    <t>DIST=5,TONE=5,LEVEL=5</t>
  </si>
  <si>
    <t>DIST=5,TONE=5,LEVEL=10</t>
  </si>
  <si>
    <t>DIST=5,TONE=10,LEVEL=5</t>
  </si>
  <si>
    <t>DIST=5,TONE=10,LEVEL=10</t>
  </si>
  <si>
    <t>DIST=10,TONE=0,LEVEL=5</t>
  </si>
  <si>
    <t>DIST=10,TONE=0,LEVEL=10</t>
  </si>
  <si>
    <t>DIST=10,TONE=5,LEVEL=5</t>
  </si>
  <si>
    <t>DIST=10,TONE=5,LEVEL=10</t>
  </si>
  <si>
    <t>DIST=10,TONE=10,LEVEL=5</t>
  </si>
  <si>
    <t>DIST=10,TONE=10,LEVEL=10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</si>
</sst>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Sheet1!$A$4</c:f>
              <c:strCache>
                <c:ptCount val="1"/>
                <c:pt idx="0">
                  <c:v>DIST=0,TONE=0,LEVEL=10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Sheet1!$C$1:$X$1</c:f>
              <c:numCache>
                <c:formatCode>General</c:formatCode>
                <c:ptCount val="2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</c:numCache>
            </c:numRef>
          </c:xVal>
          <c:yVal>
            <c:numRef>
              <c:f>Sheet1!$C$4:$X$4</c:f>
              <c:numCache>
                <c:formatCode>General</c:formatCode>
                <c:ptCount val="22"/>
                <c:pt idx="0">
                  <c:v>-2.626600023826037</c:v>
                </c:pt>
                <c:pt idx="1">
                  <c:v>-5.2532000476520739</c:v>
                </c:pt>
                <c:pt idx="2">
                  <c:v>-7.8798000714781109</c:v>
                </c:pt>
                <c:pt idx="3">
                  <c:v>-10.506400095304148</c:v>
                </c:pt>
                <c:pt idx="4">
                  <c:v>-13.133000119130184</c:v>
                </c:pt>
                <c:pt idx="5">
                  <c:v>-15.759600142956222</c:v>
                </c:pt>
                <c:pt idx="6">
                  <c:v>-18.386200166782256</c:v>
                </c:pt>
                <c:pt idx="7">
                  <c:v>-21.012800190608296</c:v>
                </c:pt>
                <c:pt idx="8">
                  <c:v>-23.639400214434332</c:v>
                </c:pt>
                <c:pt idx="9">
                  <c:v>-26.266000238260368</c:v>
                </c:pt>
                <c:pt idx="10">
                  <c:v>-28.892600262086404</c:v>
                </c:pt>
                <c:pt idx="11">
                  <c:v>-31.519200285912444</c:v>
                </c:pt>
                <c:pt idx="12">
                  <c:v>-34.145800309738476</c:v>
                </c:pt>
                <c:pt idx="13">
                  <c:v>-36.772400333564512</c:v>
                </c:pt>
                <c:pt idx="14">
                  <c:v>-39.399000357390555</c:v>
                </c:pt>
                <c:pt idx="15">
                  <c:v>-42.025600381216591</c:v>
                </c:pt>
                <c:pt idx="16">
                  <c:v>-44.652200405042628</c:v>
                </c:pt>
                <c:pt idx="17">
                  <c:v>-47.278800428868664</c:v>
                </c:pt>
                <c:pt idx="18">
                  <c:v>-49.9054004526947</c:v>
                </c:pt>
                <c:pt idx="19">
                  <c:v>-52.532000476520736</c:v>
                </c:pt>
                <c:pt idx="20">
                  <c:v>-55.158600500346772</c:v>
                </c:pt>
                <c:pt idx="21">
                  <c:v>-57.785200524172808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6AC-4616-970D-4D7803F4A11B}"/>
            </c:ext>
          </c:extLst>
        </c:ser>
        <c:ser>
          <c:idx val="1"/>
          <c:order val="1"/>
          <c:tx>
            <c:strRef>
              <c:f>Sheet1!$A$6</c:f>
              <c:strCache>
                <c:ptCount val="1"/>
                <c:pt idx="0">
                  <c:v>DIST=0,TONE=5,LEVEL=10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Sheet1!$C$1:$X$1</c:f>
              <c:numCache>
                <c:formatCode>General</c:formatCode>
                <c:ptCount val="2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</c:numCache>
            </c:numRef>
          </c:xVal>
          <c:yVal>
            <c:numRef>
              <c:f>Sheet1!$C$6:$X$6</c:f>
              <c:numCache>
                <c:formatCode>General</c:formatCode>
                <c:ptCount val="22"/>
                <c:pt idx="0">
                  <c:v>-2.1714442857774019</c:v>
                </c:pt>
                <c:pt idx="1">
                  <c:v>-4.3428885715548038</c:v>
                </c:pt>
                <c:pt idx="2">
                  <c:v>-6.5143328573322057</c:v>
                </c:pt>
                <c:pt idx="3">
                  <c:v>-8.6857771431096076</c:v>
                </c:pt>
                <c:pt idx="4">
                  <c:v>-10.85722142888701</c:v>
                </c:pt>
                <c:pt idx="5">
                  <c:v>-13.028665714664411</c:v>
                </c:pt>
                <c:pt idx="6">
                  <c:v>-15.200110000441814</c:v>
                </c:pt>
                <c:pt idx="7">
                  <c:v>-17.371554286219215</c:v>
                </c:pt>
                <c:pt idx="8">
                  <c:v>-19.542998571996616</c:v>
                </c:pt>
                <c:pt idx="9">
                  <c:v>-21.714442857774021</c:v>
                </c:pt>
                <c:pt idx="10">
                  <c:v>-23.885887143551422</c:v>
                </c:pt>
                <c:pt idx="11">
                  <c:v>-26.057331429328823</c:v>
                </c:pt>
                <c:pt idx="12">
                  <c:v>-28.228775715106227</c:v>
                </c:pt>
                <c:pt idx="13">
                  <c:v>-30.400220000883628</c:v>
                </c:pt>
                <c:pt idx="14">
                  <c:v>-32.571664286661033</c:v>
                </c:pt>
                <c:pt idx="15">
                  <c:v>-34.74310857243843</c:v>
                </c:pt>
                <c:pt idx="16">
                  <c:v>-36.914552858215835</c:v>
                </c:pt>
                <c:pt idx="17">
                  <c:v>-39.085997143993232</c:v>
                </c:pt>
                <c:pt idx="18">
                  <c:v>-41.257441429770637</c:v>
                </c:pt>
                <c:pt idx="19">
                  <c:v>-43.428885715548041</c:v>
                </c:pt>
                <c:pt idx="20">
                  <c:v>-45.600330001325439</c:v>
                </c:pt>
                <c:pt idx="21">
                  <c:v>-47.771774287102843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6AC-4616-970D-4D7803F4A11B}"/>
            </c:ext>
          </c:extLst>
        </c:ser>
        <c:ser>
          <c:idx val="2"/>
          <c:order val="2"/>
          <c:tx>
            <c:strRef>
              <c:f>Sheet1!$A$8</c:f>
              <c:strCache>
                <c:ptCount val="1"/>
                <c:pt idx="0">
                  <c:v>DIST=0,TONE=10,LEVEL=10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Sheet1!$C$1:$X$1</c:f>
              <c:numCache>
                <c:formatCode>General</c:formatCode>
                <c:ptCount val="2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</c:numCache>
            </c:numRef>
          </c:xVal>
          <c:yVal>
            <c:numRef>
              <c:f>Sheet1!$C$8:$X$8</c:f>
              <c:numCache>
                <c:formatCode>General</c:formatCode>
                <c:ptCount val="22"/>
                <c:pt idx="0">
                  <c:v>-2.220966767695999</c:v>
                </c:pt>
                <c:pt idx="1">
                  <c:v>-4.441933535391998</c:v>
                </c:pt>
                <c:pt idx="2">
                  <c:v>-6.6629003030879961</c:v>
                </c:pt>
                <c:pt idx="3">
                  <c:v>-8.883867070783996</c:v>
                </c:pt>
                <c:pt idx="4">
                  <c:v>-11.104833838479994</c:v>
                </c:pt>
                <c:pt idx="5">
                  <c:v>-13.325800606175992</c:v>
                </c:pt>
                <c:pt idx="6">
                  <c:v>-15.546767373871992</c:v>
                </c:pt>
                <c:pt idx="7">
                  <c:v>-17.767734141567992</c:v>
                </c:pt>
                <c:pt idx="8">
                  <c:v>-19.98870090926399</c:v>
                </c:pt>
                <c:pt idx="9">
                  <c:v>-22.209667676959988</c:v>
                </c:pt>
                <c:pt idx="10">
                  <c:v>-24.430634444655986</c:v>
                </c:pt>
                <c:pt idx="11">
                  <c:v>-26.651601212351984</c:v>
                </c:pt>
                <c:pt idx="12">
                  <c:v>-28.872567980047986</c:v>
                </c:pt>
                <c:pt idx="13">
                  <c:v>-31.093534747743984</c:v>
                </c:pt>
                <c:pt idx="14">
                  <c:v>-33.314501515439979</c:v>
                </c:pt>
                <c:pt idx="15">
                  <c:v>-35.535468283135984</c:v>
                </c:pt>
                <c:pt idx="16">
                  <c:v>-37.756435050831982</c:v>
                </c:pt>
                <c:pt idx="17">
                  <c:v>-39.97740181852798</c:v>
                </c:pt>
                <c:pt idx="18">
                  <c:v>-42.198368586223978</c:v>
                </c:pt>
                <c:pt idx="19">
                  <c:v>-44.419335353919976</c:v>
                </c:pt>
                <c:pt idx="20">
                  <c:v>-46.640302121615974</c:v>
                </c:pt>
                <c:pt idx="21">
                  <c:v>-48.861268889311972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6AC-4616-970D-4D7803F4A11B}"/>
            </c:ext>
          </c:extLst>
        </c:ser>
        <c:ser>
          <c:idx val="3"/>
          <c:order val="3"/>
          <c:tx>
            <c:strRef>
              <c:f>Sheet1!$A$10</c:f>
              <c:strCache>
                <c:ptCount val="1"/>
                <c:pt idx="0">
                  <c:v>DIST=5,TONE=0,LEVEL=10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Sheet1!$C$1:$X$1</c:f>
              <c:numCache>
                <c:formatCode>General</c:formatCode>
                <c:ptCount val="2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</c:numCache>
            </c:numRef>
          </c:xVal>
          <c:yVal>
            <c:numRef>
              <c:f>Sheet1!$C$10:$X$10</c:f>
              <c:numCache>
                <c:formatCode>General</c:formatCode>
                <c:ptCount val="22"/>
                <c:pt idx="0">
                  <c:v>-2.0740020692876047</c:v>
                </c:pt>
                <c:pt idx="1">
                  <c:v>-4.1480041385752093</c:v>
                </c:pt>
                <c:pt idx="2">
                  <c:v>-6.2220062078628144</c:v>
                </c:pt>
                <c:pt idx="3">
                  <c:v>-8.2960082771504187</c:v>
                </c:pt>
                <c:pt idx="4">
                  <c:v>-10.370010346438024</c:v>
                </c:pt>
                <c:pt idx="5">
                  <c:v>-12.444012415725629</c:v>
                </c:pt>
                <c:pt idx="6">
                  <c:v>-14.518014485013234</c:v>
                </c:pt>
                <c:pt idx="7">
                  <c:v>-16.592016554300837</c:v>
                </c:pt>
                <c:pt idx="8">
                  <c:v>-18.666018623588442</c:v>
                </c:pt>
                <c:pt idx="9">
                  <c:v>-20.740020692876048</c:v>
                </c:pt>
                <c:pt idx="10">
                  <c:v>-22.814022762163653</c:v>
                </c:pt>
                <c:pt idx="11">
                  <c:v>-24.888024831451258</c:v>
                </c:pt>
                <c:pt idx="12">
                  <c:v>-26.962026900738863</c:v>
                </c:pt>
                <c:pt idx="13">
                  <c:v>-29.036028970026468</c:v>
                </c:pt>
                <c:pt idx="14">
                  <c:v>-31.110031039314073</c:v>
                </c:pt>
                <c:pt idx="15">
                  <c:v>-33.184033108601675</c:v>
                </c:pt>
                <c:pt idx="16">
                  <c:v>-35.258035177889283</c:v>
                </c:pt>
                <c:pt idx="17">
                  <c:v>-37.332037247176885</c:v>
                </c:pt>
                <c:pt idx="18">
                  <c:v>-39.406039316464494</c:v>
                </c:pt>
                <c:pt idx="19">
                  <c:v>-41.480041385752095</c:v>
                </c:pt>
                <c:pt idx="20">
                  <c:v>-43.554043455039704</c:v>
                </c:pt>
                <c:pt idx="21">
                  <c:v>-45.628045524327305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6AC-4616-970D-4D7803F4A11B}"/>
            </c:ext>
          </c:extLst>
        </c:ser>
        <c:ser>
          <c:idx val="4"/>
          <c:order val="4"/>
          <c:tx>
            <c:strRef>
              <c:f>Sheet1!$A$12</c:f>
              <c:strCache>
                <c:ptCount val="1"/>
                <c:pt idx="0">
                  <c:v>DIST=5,TONE=5,LEVEL=10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Sheet1!$C$1:$X$1</c:f>
              <c:numCache>
                <c:formatCode>General</c:formatCode>
                <c:ptCount val="2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</c:numCache>
            </c:numRef>
          </c:xVal>
          <c:yVal>
            <c:numRef>
              <c:f>Sheet1!$C$12:$X$12</c:f>
              <c:numCache>
                <c:formatCode>General</c:formatCode>
                <c:ptCount val="22"/>
                <c:pt idx="0">
                  <c:v>-1.784787201230625</c:v>
                </c:pt>
                <c:pt idx="1">
                  <c:v>-3.5695744024612499</c:v>
                </c:pt>
                <c:pt idx="2">
                  <c:v>-5.3543616036918751</c:v>
                </c:pt>
                <c:pt idx="3">
                  <c:v>-7.1391488049224998</c:v>
                </c:pt>
                <c:pt idx="4">
                  <c:v>-8.9239360061531254</c:v>
                </c:pt>
                <c:pt idx="5">
                  <c:v>-10.70872320738375</c:v>
                </c:pt>
                <c:pt idx="6">
                  <c:v>-12.493510408614375</c:v>
                </c:pt>
                <c:pt idx="7">
                  <c:v>-14.278297609845</c:v>
                </c:pt>
                <c:pt idx="8">
                  <c:v>-16.063084811075626</c:v>
                </c:pt>
                <c:pt idx="9">
                  <c:v>-17.847872012306251</c:v>
                </c:pt>
                <c:pt idx="10">
                  <c:v>-19.632659213536876</c:v>
                </c:pt>
                <c:pt idx="11">
                  <c:v>-21.4174464147675</c:v>
                </c:pt>
                <c:pt idx="12">
                  <c:v>-23.202233615998125</c:v>
                </c:pt>
                <c:pt idx="13">
                  <c:v>-24.98702081722875</c:v>
                </c:pt>
                <c:pt idx="14">
                  <c:v>-26.771808018459375</c:v>
                </c:pt>
                <c:pt idx="15">
                  <c:v>-28.556595219689999</c:v>
                </c:pt>
                <c:pt idx="16">
                  <c:v>-30.341382420920624</c:v>
                </c:pt>
                <c:pt idx="17">
                  <c:v>-32.126169622151252</c:v>
                </c:pt>
                <c:pt idx="18">
                  <c:v>-33.910956823381873</c:v>
                </c:pt>
                <c:pt idx="19">
                  <c:v>-35.695744024612502</c:v>
                </c:pt>
                <c:pt idx="20">
                  <c:v>-37.480531225843123</c:v>
                </c:pt>
                <c:pt idx="21">
                  <c:v>-39.265318427073751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6AC-4616-970D-4D7803F4A11B}"/>
            </c:ext>
          </c:extLst>
        </c:ser>
        <c:ser>
          <c:idx val="5"/>
          <c:order val="5"/>
          <c:tx>
            <c:strRef>
              <c:f>Sheet1!$A$14</c:f>
              <c:strCache>
                <c:ptCount val="1"/>
                <c:pt idx="0">
                  <c:v>DIST=5,TONE=10,LEVEL=10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Sheet1!$C$1:$X$1</c:f>
              <c:numCache>
                <c:formatCode>General</c:formatCode>
                <c:ptCount val="2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</c:numCache>
            </c:numRef>
          </c:xVal>
          <c:yVal>
            <c:numRef>
              <c:f>Sheet1!$C$14:$X$14</c:f>
              <c:numCache>
                <c:formatCode>General</c:formatCode>
                <c:ptCount val="22"/>
                <c:pt idx="0">
                  <c:v>-1.8056659241347419</c:v>
                </c:pt>
                <c:pt idx="1">
                  <c:v>-3.6113318482694838</c:v>
                </c:pt>
                <c:pt idx="2">
                  <c:v>-5.4169977724042262</c:v>
                </c:pt>
                <c:pt idx="3">
                  <c:v>-7.2226636965389677</c:v>
                </c:pt>
                <c:pt idx="4">
                  <c:v>-9.0283296206737091</c:v>
                </c:pt>
                <c:pt idx="5">
                  <c:v>-10.833995544808452</c:v>
                </c:pt>
                <c:pt idx="6">
                  <c:v>-12.639661468943194</c:v>
                </c:pt>
                <c:pt idx="7">
                  <c:v>-14.445327393077935</c:v>
                </c:pt>
                <c:pt idx="8">
                  <c:v>-16.250993317212679</c:v>
                </c:pt>
                <c:pt idx="9">
                  <c:v>-18.056659241347418</c:v>
                </c:pt>
                <c:pt idx="10">
                  <c:v>-19.862325165482162</c:v>
                </c:pt>
                <c:pt idx="11">
                  <c:v>-21.667991089616905</c:v>
                </c:pt>
                <c:pt idx="12">
                  <c:v>-23.473657013751644</c:v>
                </c:pt>
                <c:pt idx="13">
                  <c:v>-25.279322937886388</c:v>
                </c:pt>
                <c:pt idx="14">
                  <c:v>-27.084988862021131</c:v>
                </c:pt>
                <c:pt idx="15">
                  <c:v>-28.890654786155871</c:v>
                </c:pt>
                <c:pt idx="16">
                  <c:v>-30.696320710290614</c:v>
                </c:pt>
                <c:pt idx="17">
                  <c:v>-32.501986634425357</c:v>
                </c:pt>
                <c:pt idx="18">
                  <c:v>-34.3076525585601</c:v>
                </c:pt>
                <c:pt idx="19">
                  <c:v>-36.113318482694837</c:v>
                </c:pt>
                <c:pt idx="20">
                  <c:v>-37.91898440682958</c:v>
                </c:pt>
                <c:pt idx="21">
                  <c:v>-39.724650330964323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6AC-4616-970D-4D7803F4A11B}"/>
            </c:ext>
          </c:extLst>
        </c:ser>
        <c:ser>
          <c:idx val="6"/>
          <c:order val="6"/>
          <c:tx>
            <c:strRef>
              <c:f>Sheet1!$A$16</c:f>
              <c:strCache>
                <c:ptCount val="1"/>
                <c:pt idx="0">
                  <c:v>DIST=10,TONE=0,LEVEL=10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Sheet1!$C$1:$X$1</c:f>
              <c:numCache>
                <c:formatCode>General</c:formatCode>
                <c:ptCount val="2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</c:numCache>
            </c:numRef>
          </c:xVal>
          <c:yVal>
            <c:numRef>
              <c:f>Sheet1!$C$16:$X$16</c:f>
              <c:numCache>
                <c:formatCode>General</c:formatCode>
                <c:ptCount val="22"/>
                <c:pt idx="0">
                  <c:v>-1.450530207537114</c:v>
                </c:pt>
                <c:pt idx="1">
                  <c:v>-2.9010604150742281</c:v>
                </c:pt>
                <c:pt idx="2">
                  <c:v>-4.3515906226113419</c:v>
                </c:pt>
                <c:pt idx="3">
                  <c:v>-5.8021208301484561</c:v>
                </c:pt>
                <c:pt idx="4">
                  <c:v>-7.2526510376855704</c:v>
                </c:pt>
                <c:pt idx="5">
                  <c:v>-8.7031812452226838</c:v>
                </c:pt>
                <c:pt idx="6">
                  <c:v>-10.153711452759799</c:v>
                </c:pt>
                <c:pt idx="7">
                  <c:v>-11.604241660296912</c:v>
                </c:pt>
                <c:pt idx="8">
                  <c:v>-13.054771867834026</c:v>
                </c:pt>
                <c:pt idx="9">
                  <c:v>-14.505302075371141</c:v>
                </c:pt>
                <c:pt idx="10">
                  <c:v>-15.955832282908254</c:v>
                </c:pt>
                <c:pt idx="11">
                  <c:v>-17.406362490445368</c:v>
                </c:pt>
                <c:pt idx="12">
                  <c:v>-18.856892697982481</c:v>
                </c:pt>
                <c:pt idx="13">
                  <c:v>-20.307422905519598</c:v>
                </c:pt>
                <c:pt idx="14">
                  <c:v>-21.757953113056711</c:v>
                </c:pt>
                <c:pt idx="15">
                  <c:v>-23.208483320593825</c:v>
                </c:pt>
                <c:pt idx="16">
                  <c:v>-24.659013528130938</c:v>
                </c:pt>
                <c:pt idx="17">
                  <c:v>-26.109543735668051</c:v>
                </c:pt>
                <c:pt idx="18">
                  <c:v>-27.560073943205165</c:v>
                </c:pt>
                <c:pt idx="19">
                  <c:v>-29.010604150742282</c:v>
                </c:pt>
                <c:pt idx="20">
                  <c:v>-30.461134358279395</c:v>
                </c:pt>
                <c:pt idx="21">
                  <c:v>-31.911664565816508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6AC-4616-970D-4D7803F4A11B}"/>
            </c:ext>
          </c:extLst>
        </c:ser>
        <c:ser>
          <c:idx val="7"/>
          <c:order val="7"/>
          <c:tx>
            <c:strRef>
              <c:f>Sheet1!$A$18</c:f>
              <c:strCache>
                <c:ptCount val="1"/>
                <c:pt idx="0">
                  <c:v>DIST=10,TONE=5,LEVEL=10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Sheet1!$C$1:$X$1</c:f>
              <c:numCache>
                <c:formatCode>General</c:formatCode>
                <c:ptCount val="2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</c:numCache>
            </c:numRef>
          </c:xVal>
          <c:yVal>
            <c:numRef>
              <c:f>Sheet1!$C$18:$X$18</c:f>
              <c:numCache>
                <c:formatCode>General</c:formatCode>
                <c:ptCount val="22"/>
                <c:pt idx="0">
                  <c:v>-1.1089521641379729</c:v>
                </c:pt>
                <c:pt idx="1">
                  <c:v>-2.2179043282759459</c:v>
                </c:pt>
                <c:pt idx="2">
                  <c:v>-3.3268564924139192</c:v>
                </c:pt>
                <c:pt idx="3">
                  <c:v>-4.4358086565518917</c:v>
                </c:pt>
                <c:pt idx="4">
                  <c:v>-5.5447608206898655</c:v>
                </c:pt>
                <c:pt idx="5">
                  <c:v>-6.6537129848278385</c:v>
                </c:pt>
                <c:pt idx="6">
                  <c:v>-7.7626651489658114</c:v>
                </c:pt>
                <c:pt idx="7">
                  <c:v>-8.8716173131037834</c:v>
                </c:pt>
                <c:pt idx="8">
                  <c:v>-9.9805694772417581</c:v>
                </c:pt>
                <c:pt idx="9">
                  <c:v>-11.089521641379731</c:v>
                </c:pt>
                <c:pt idx="10">
                  <c:v>-12.198473805517704</c:v>
                </c:pt>
                <c:pt idx="11">
                  <c:v>-13.307425969655677</c:v>
                </c:pt>
                <c:pt idx="12">
                  <c:v>-14.41637813379365</c:v>
                </c:pt>
                <c:pt idx="13">
                  <c:v>-15.525330297931623</c:v>
                </c:pt>
                <c:pt idx="14">
                  <c:v>-16.634282462069596</c:v>
                </c:pt>
                <c:pt idx="15">
                  <c:v>-17.743234626207567</c:v>
                </c:pt>
                <c:pt idx="16">
                  <c:v>-18.852186790345542</c:v>
                </c:pt>
                <c:pt idx="17">
                  <c:v>-19.961138954483516</c:v>
                </c:pt>
                <c:pt idx="18">
                  <c:v>-21.070091118621487</c:v>
                </c:pt>
                <c:pt idx="19">
                  <c:v>-22.179043282759462</c:v>
                </c:pt>
                <c:pt idx="20">
                  <c:v>-23.287995446897433</c:v>
                </c:pt>
                <c:pt idx="21">
                  <c:v>-24.396947611035408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6AC-4616-970D-4D7803F4A11B}"/>
            </c:ext>
          </c:extLst>
        </c:ser>
        <c:ser>
          <c:idx val="8"/>
          <c:order val="8"/>
          <c:tx>
            <c:strRef>
              <c:f>Sheet1!$A$20</c:f>
              <c:strCache>
                <c:ptCount val="1"/>
                <c:pt idx="0">
                  <c:v>DIST=10,TONE=10,LEVEL=10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Sheet1!$C$1:$X$1</c:f>
              <c:numCache>
                <c:formatCode>General</c:formatCode>
                <c:ptCount val="2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</c:numCache>
            </c:numRef>
          </c:xVal>
          <c:yVal>
            <c:numRef>
              <c:f>Sheet1!$C$20:$X$20</c:f>
              <c:numCache>
                <c:formatCode>General</c:formatCode>
                <c:ptCount val="22"/>
                <c:pt idx="0">
                  <c:v>-1.113758664104338</c:v>
                </c:pt>
                <c:pt idx="1">
                  <c:v>-2.227517328208676</c:v>
                </c:pt>
                <c:pt idx="2">
                  <c:v>-3.341275992313014</c:v>
                </c:pt>
                <c:pt idx="3">
                  <c:v>-4.455034656417352</c:v>
                </c:pt>
                <c:pt idx="4">
                  <c:v>-5.5687933205216904</c:v>
                </c:pt>
                <c:pt idx="5">
                  <c:v>-6.682551984626028</c:v>
                </c:pt>
                <c:pt idx="6">
                  <c:v>-7.7963106487303664</c:v>
                </c:pt>
                <c:pt idx="7">
                  <c:v>-8.9100693128347039</c:v>
                </c:pt>
                <c:pt idx="8">
                  <c:v>-10.023827976939042</c:v>
                </c:pt>
                <c:pt idx="9">
                  <c:v>-11.137586641043381</c:v>
                </c:pt>
                <c:pt idx="10">
                  <c:v>-12.251345305147717</c:v>
                </c:pt>
                <c:pt idx="11">
                  <c:v>-13.365103969252056</c:v>
                </c:pt>
                <c:pt idx="12">
                  <c:v>-14.478862633356394</c:v>
                </c:pt>
                <c:pt idx="13">
                  <c:v>-15.592621297460733</c:v>
                </c:pt>
                <c:pt idx="14">
                  <c:v>-16.706379961565069</c:v>
                </c:pt>
                <c:pt idx="15">
                  <c:v>-17.820138625669408</c:v>
                </c:pt>
                <c:pt idx="16">
                  <c:v>-18.933897289773746</c:v>
                </c:pt>
                <c:pt idx="17">
                  <c:v>-20.047655953878085</c:v>
                </c:pt>
                <c:pt idx="18">
                  <c:v>-21.161414617982423</c:v>
                </c:pt>
                <c:pt idx="19">
                  <c:v>-22.275173282086762</c:v>
                </c:pt>
                <c:pt idx="20">
                  <c:v>-23.388931946191097</c:v>
                </c:pt>
                <c:pt idx="21">
                  <c:v>-24.502690610295435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6AC-4616-970D-4D7803F4A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4746735"/>
        <c:axId val="1464749135"/>
      </c:scatterChart>
      <c:valAx>
        <c:axId val="1464746735"/>
        <c:scaling>
          <c:orientation val="minMax"/>
          <c:max val="22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Frequency(Hz)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4749135"/>
        <c:crosses val="autoZero"/>
        <c:crossBetween val="midCat"/>
      </c:valAx>
      <c:valAx>
        <c:axId val="1464749135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Amplitude(dB)</a:t>
                </a:r>
                <a:endParaRPr lang="ja-JP" altLang="en-US"/>
              </a:p>
            </c:rich>
          </c:tx>
          <c:layout>
            <c:manualLayout>
              <c:xMode val="edge"/>
              <c:yMode val="edge"/>
              <c:x val="2.416428252664644E-2"/>
              <c:y val="0.2715867303216861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47467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2"/>
          <c:order val="2"/>
          <c:tx>
            <c:strRef>
              <c:f>Sheet1!$A$8</c:f>
              <c:strCache>
                <c:ptCount val="1"/>
                <c:pt idx="0">
                  <c:v>DIST=0,TONE=10,LEVEL=10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Sheet1!$C$1:$X$1</c:f>
              <c:numCache>
                <c:formatCode>General</c:formatCode>
                <c:ptCount val="2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</c:numCache>
            </c:numRef>
          </c:xVal>
          <c:yVal>
            <c:numRef>
              <c:f>Sheet1!$C$8:$X$8</c:f>
              <c:numCache>
                <c:formatCode>General</c:formatCode>
                <c:ptCount val="22"/>
                <c:pt idx="0">
                  <c:v>-2.220966767695999</c:v>
                </c:pt>
                <c:pt idx="1">
                  <c:v>-4.441933535391998</c:v>
                </c:pt>
                <c:pt idx="2">
                  <c:v>-6.6629003030879961</c:v>
                </c:pt>
                <c:pt idx="3">
                  <c:v>-8.883867070783996</c:v>
                </c:pt>
                <c:pt idx="4">
                  <c:v>-11.104833838479994</c:v>
                </c:pt>
                <c:pt idx="5">
                  <c:v>-13.325800606175992</c:v>
                </c:pt>
                <c:pt idx="6">
                  <c:v>-15.546767373871992</c:v>
                </c:pt>
                <c:pt idx="7">
                  <c:v>-17.767734141567992</c:v>
                </c:pt>
                <c:pt idx="8">
                  <c:v>-19.98870090926399</c:v>
                </c:pt>
                <c:pt idx="9">
                  <c:v>-22.209667676959988</c:v>
                </c:pt>
                <c:pt idx="10">
                  <c:v>-24.430634444655986</c:v>
                </c:pt>
                <c:pt idx="11">
                  <c:v>-26.651601212351984</c:v>
                </c:pt>
                <c:pt idx="12">
                  <c:v>-28.872567980047986</c:v>
                </c:pt>
                <c:pt idx="13">
                  <c:v>-31.093534747743984</c:v>
                </c:pt>
                <c:pt idx="14">
                  <c:v>-33.314501515439979</c:v>
                </c:pt>
                <c:pt idx="15">
                  <c:v>-35.535468283135984</c:v>
                </c:pt>
                <c:pt idx="16">
                  <c:v>-37.756435050831982</c:v>
                </c:pt>
                <c:pt idx="17">
                  <c:v>-39.97740181852798</c:v>
                </c:pt>
                <c:pt idx="18">
                  <c:v>-42.198368586223978</c:v>
                </c:pt>
                <c:pt idx="19">
                  <c:v>-44.419335353919976</c:v>
                </c:pt>
                <c:pt idx="20">
                  <c:v>-46.640302121615974</c:v>
                </c:pt>
                <c:pt idx="21">
                  <c:v>-48.861268889311972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427-414B-9351-42D26D848ED6}"/>
            </c:ext>
          </c:extLst>
        </c:ser>
        <c:ser>
          <c:idx val="5"/>
          <c:order val="5"/>
          <c:tx>
            <c:strRef>
              <c:f>Sheet1!$A$14</c:f>
              <c:strCache>
                <c:ptCount val="1"/>
                <c:pt idx="0">
                  <c:v>DIST=5,TONE=10,LEVEL=10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Sheet1!$C$1:$X$1</c:f>
              <c:numCache>
                <c:formatCode>General</c:formatCode>
                <c:ptCount val="2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</c:numCache>
            </c:numRef>
          </c:xVal>
          <c:yVal>
            <c:numRef>
              <c:f>Sheet1!$C$14:$X$14</c:f>
              <c:numCache>
                <c:formatCode>General</c:formatCode>
                <c:ptCount val="22"/>
                <c:pt idx="0">
                  <c:v>-1.8056659241347419</c:v>
                </c:pt>
                <c:pt idx="1">
                  <c:v>-3.6113318482694838</c:v>
                </c:pt>
                <c:pt idx="2">
                  <c:v>-5.4169977724042262</c:v>
                </c:pt>
                <c:pt idx="3">
                  <c:v>-7.2226636965389677</c:v>
                </c:pt>
                <c:pt idx="4">
                  <c:v>-9.0283296206737091</c:v>
                </c:pt>
                <c:pt idx="5">
                  <c:v>-10.833995544808452</c:v>
                </c:pt>
                <c:pt idx="6">
                  <c:v>-12.639661468943194</c:v>
                </c:pt>
                <c:pt idx="7">
                  <c:v>-14.445327393077935</c:v>
                </c:pt>
                <c:pt idx="8">
                  <c:v>-16.250993317212679</c:v>
                </c:pt>
                <c:pt idx="9">
                  <c:v>-18.056659241347418</c:v>
                </c:pt>
                <c:pt idx="10">
                  <c:v>-19.862325165482162</c:v>
                </c:pt>
                <c:pt idx="11">
                  <c:v>-21.667991089616905</c:v>
                </c:pt>
                <c:pt idx="12">
                  <c:v>-23.473657013751644</c:v>
                </c:pt>
                <c:pt idx="13">
                  <c:v>-25.279322937886388</c:v>
                </c:pt>
                <c:pt idx="14">
                  <c:v>-27.084988862021131</c:v>
                </c:pt>
                <c:pt idx="15">
                  <c:v>-28.890654786155871</c:v>
                </c:pt>
                <c:pt idx="16">
                  <c:v>-30.696320710290614</c:v>
                </c:pt>
                <c:pt idx="17">
                  <c:v>-32.501986634425357</c:v>
                </c:pt>
                <c:pt idx="18">
                  <c:v>-34.3076525585601</c:v>
                </c:pt>
                <c:pt idx="19">
                  <c:v>-36.113318482694837</c:v>
                </c:pt>
                <c:pt idx="20">
                  <c:v>-37.91898440682958</c:v>
                </c:pt>
                <c:pt idx="21">
                  <c:v>-39.724650330964323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427-414B-9351-42D26D848ED6}"/>
            </c:ext>
          </c:extLst>
        </c:ser>
        <c:ser>
          <c:idx val="8"/>
          <c:order val="8"/>
          <c:tx>
            <c:strRef>
              <c:f>Sheet1!$A$20</c:f>
              <c:strCache>
                <c:ptCount val="1"/>
                <c:pt idx="0">
                  <c:v>DIST=10,TONE=10,LEVEL=10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Sheet1!$C$1:$X$1</c:f>
              <c:numCache>
                <c:formatCode>General</c:formatCode>
                <c:ptCount val="2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</c:numCache>
            </c:numRef>
          </c:xVal>
          <c:yVal>
            <c:numRef>
              <c:f>Sheet1!$C$20:$X$20</c:f>
              <c:numCache>
                <c:formatCode>General</c:formatCode>
                <c:ptCount val="22"/>
                <c:pt idx="0">
                  <c:v>-1.113758664104338</c:v>
                </c:pt>
                <c:pt idx="1">
                  <c:v>-2.227517328208676</c:v>
                </c:pt>
                <c:pt idx="2">
                  <c:v>-3.341275992313014</c:v>
                </c:pt>
                <c:pt idx="3">
                  <c:v>-4.455034656417352</c:v>
                </c:pt>
                <c:pt idx="4">
                  <c:v>-5.5687933205216904</c:v>
                </c:pt>
                <c:pt idx="5">
                  <c:v>-6.682551984626028</c:v>
                </c:pt>
                <c:pt idx="6">
                  <c:v>-7.7963106487303664</c:v>
                </c:pt>
                <c:pt idx="7">
                  <c:v>-8.9100693128347039</c:v>
                </c:pt>
                <c:pt idx="8">
                  <c:v>-10.023827976939042</c:v>
                </c:pt>
                <c:pt idx="9">
                  <c:v>-11.137586641043381</c:v>
                </c:pt>
                <c:pt idx="10">
                  <c:v>-12.251345305147717</c:v>
                </c:pt>
                <c:pt idx="11">
                  <c:v>-13.365103969252056</c:v>
                </c:pt>
                <c:pt idx="12">
                  <c:v>-14.478862633356394</c:v>
                </c:pt>
                <c:pt idx="13">
                  <c:v>-15.592621297460733</c:v>
                </c:pt>
                <c:pt idx="14">
                  <c:v>-16.706379961565069</c:v>
                </c:pt>
                <c:pt idx="15">
                  <c:v>-17.820138625669408</c:v>
                </c:pt>
                <c:pt idx="16">
                  <c:v>-18.933897289773746</c:v>
                </c:pt>
                <c:pt idx="17">
                  <c:v>-20.047655953878085</c:v>
                </c:pt>
                <c:pt idx="18">
                  <c:v>-21.161414617982423</c:v>
                </c:pt>
                <c:pt idx="19">
                  <c:v>-22.275173282086762</c:v>
                </c:pt>
                <c:pt idx="20">
                  <c:v>-23.388931946191097</c:v>
                </c:pt>
                <c:pt idx="21">
                  <c:v>-24.502690610295435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C427-414B-9351-42D26D848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4746735"/>
        <c:axId val="1464749135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Sheet1!$A$4</c15:sqref>
                        </c15:formulaRef>
                      </c:ext>
                    </c:extLst>
                    <c:strCache>
                      <c:ptCount val="1"/>
                      <c:pt idx="0">
                        <c:v>DIST=0,TONE=0,LEVEL=10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Sheet1!$C$1:$X$1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3000</c:v>
                      </c:pt>
                      <c:pt idx="3">
                        <c:v>4000</c:v>
                      </c:pt>
                      <c:pt idx="4">
                        <c:v>5000</c:v>
                      </c:pt>
                      <c:pt idx="5">
                        <c:v>6000</c:v>
                      </c:pt>
                      <c:pt idx="6">
                        <c:v>7000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  <c:pt idx="10">
                        <c:v>11000</c:v>
                      </c:pt>
                      <c:pt idx="11">
                        <c:v>12000</c:v>
                      </c:pt>
                      <c:pt idx="12">
                        <c:v>13000</c:v>
                      </c:pt>
                      <c:pt idx="13">
                        <c:v>14000</c:v>
                      </c:pt>
                      <c:pt idx="14">
                        <c:v>15000</c:v>
                      </c:pt>
                      <c:pt idx="15">
                        <c:v>16000</c:v>
                      </c:pt>
                      <c:pt idx="16">
                        <c:v>17000</c:v>
                      </c:pt>
                      <c:pt idx="17">
                        <c:v>18000</c:v>
                      </c:pt>
                      <c:pt idx="18">
                        <c:v>19000</c:v>
                      </c:pt>
                      <c:pt idx="19">
                        <c:v>20000</c:v>
                      </c:pt>
                      <c:pt idx="20">
                        <c:v>21000</c:v>
                      </c:pt>
                      <c:pt idx="21">
                        <c:v>22000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Sheet1!$C$4:$X$4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-2.626600023826037</c:v>
                      </c:pt>
                      <c:pt idx="1">
                        <c:v>-5.2532000476520739</c:v>
                      </c:pt>
                      <c:pt idx="2">
                        <c:v>-7.8798000714781109</c:v>
                      </c:pt>
                      <c:pt idx="3">
                        <c:v>-10.506400095304148</c:v>
                      </c:pt>
                      <c:pt idx="4">
                        <c:v>-13.133000119130184</c:v>
                      </c:pt>
                      <c:pt idx="5">
                        <c:v>-15.759600142956222</c:v>
                      </c:pt>
                      <c:pt idx="6">
                        <c:v>-18.386200166782256</c:v>
                      </c:pt>
                      <c:pt idx="7">
                        <c:v>-21.012800190608296</c:v>
                      </c:pt>
                      <c:pt idx="8">
                        <c:v>-23.639400214434332</c:v>
                      </c:pt>
                      <c:pt idx="9">
                        <c:v>-26.266000238260368</c:v>
                      </c:pt>
                      <c:pt idx="10">
                        <c:v>-28.892600262086404</c:v>
                      </c:pt>
                      <c:pt idx="11">
                        <c:v>-31.519200285912444</c:v>
                      </c:pt>
                      <c:pt idx="12">
                        <c:v>-34.145800309738476</c:v>
                      </c:pt>
                      <c:pt idx="13">
                        <c:v>-36.772400333564512</c:v>
                      </c:pt>
                      <c:pt idx="14">
                        <c:v>-39.399000357390555</c:v>
                      </c:pt>
                      <c:pt idx="15">
                        <c:v>-42.025600381216591</c:v>
                      </c:pt>
                      <c:pt idx="16">
                        <c:v>-44.652200405042628</c:v>
                      </c:pt>
                      <c:pt idx="17">
                        <c:v>-47.278800428868664</c:v>
                      </c:pt>
                      <c:pt idx="18">
                        <c:v>-49.9054004526947</c:v>
                      </c:pt>
                      <c:pt idx="19">
                        <c:v>-52.532000476520736</c:v>
                      </c:pt>
                      <c:pt idx="20">
                        <c:v>-55.158600500346772</c:v>
                      </c:pt>
                      <c:pt idx="21">
                        <c:v>-57.785200524172808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C427-414B-9351-42D26D848ED6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</c15:sqref>
                        </c15:formulaRef>
                      </c:ext>
                    </c:extLst>
                    <c:strCache>
                      <c:ptCount val="1"/>
                      <c:pt idx="0">
                        <c:v>DIST=0,TONE=5,LEVEL=10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Sheet1!$C$1:$X$1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3000</c:v>
                      </c:pt>
                      <c:pt idx="3">
                        <c:v>4000</c:v>
                      </c:pt>
                      <c:pt idx="4">
                        <c:v>5000</c:v>
                      </c:pt>
                      <c:pt idx="5">
                        <c:v>6000</c:v>
                      </c:pt>
                      <c:pt idx="6">
                        <c:v>7000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  <c:pt idx="10">
                        <c:v>11000</c:v>
                      </c:pt>
                      <c:pt idx="11">
                        <c:v>12000</c:v>
                      </c:pt>
                      <c:pt idx="12">
                        <c:v>13000</c:v>
                      </c:pt>
                      <c:pt idx="13">
                        <c:v>14000</c:v>
                      </c:pt>
                      <c:pt idx="14">
                        <c:v>15000</c:v>
                      </c:pt>
                      <c:pt idx="15">
                        <c:v>16000</c:v>
                      </c:pt>
                      <c:pt idx="16">
                        <c:v>17000</c:v>
                      </c:pt>
                      <c:pt idx="17">
                        <c:v>18000</c:v>
                      </c:pt>
                      <c:pt idx="18">
                        <c:v>19000</c:v>
                      </c:pt>
                      <c:pt idx="19">
                        <c:v>20000</c:v>
                      </c:pt>
                      <c:pt idx="20">
                        <c:v>21000</c:v>
                      </c:pt>
                      <c:pt idx="21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Sheet1!$C$6:$X$6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-2.1714442857774019</c:v>
                      </c:pt>
                      <c:pt idx="1">
                        <c:v>-4.3428885715548038</c:v>
                      </c:pt>
                      <c:pt idx="2">
                        <c:v>-6.5143328573322057</c:v>
                      </c:pt>
                      <c:pt idx="3">
                        <c:v>-8.6857771431096076</c:v>
                      </c:pt>
                      <c:pt idx="4">
                        <c:v>-10.85722142888701</c:v>
                      </c:pt>
                      <c:pt idx="5">
                        <c:v>-13.028665714664411</c:v>
                      </c:pt>
                      <c:pt idx="6">
                        <c:v>-15.200110000441814</c:v>
                      </c:pt>
                      <c:pt idx="7">
                        <c:v>-17.371554286219215</c:v>
                      </c:pt>
                      <c:pt idx="8">
                        <c:v>-19.542998571996616</c:v>
                      </c:pt>
                      <c:pt idx="9">
                        <c:v>-21.714442857774021</c:v>
                      </c:pt>
                      <c:pt idx="10">
                        <c:v>-23.885887143551422</c:v>
                      </c:pt>
                      <c:pt idx="11">
                        <c:v>-26.057331429328823</c:v>
                      </c:pt>
                      <c:pt idx="12">
                        <c:v>-28.228775715106227</c:v>
                      </c:pt>
                      <c:pt idx="13">
                        <c:v>-30.400220000883628</c:v>
                      </c:pt>
                      <c:pt idx="14">
                        <c:v>-32.571664286661033</c:v>
                      </c:pt>
                      <c:pt idx="15">
                        <c:v>-34.74310857243843</c:v>
                      </c:pt>
                      <c:pt idx="16">
                        <c:v>-36.914552858215835</c:v>
                      </c:pt>
                      <c:pt idx="17">
                        <c:v>-39.085997143993232</c:v>
                      </c:pt>
                      <c:pt idx="18">
                        <c:v>-41.257441429770637</c:v>
                      </c:pt>
                      <c:pt idx="19">
                        <c:v>-43.428885715548041</c:v>
                      </c:pt>
                      <c:pt idx="20">
                        <c:v>-45.600330001325439</c:v>
                      </c:pt>
                      <c:pt idx="21">
                        <c:v>-47.771774287102843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427-414B-9351-42D26D848ED6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Sheet1!$A$10</c15:sqref>
                        </c15:formulaRef>
                      </c:ext>
                    </c:extLst>
                    <c:strCache>
                      <c:ptCount val="1"/>
                      <c:pt idx="0">
                        <c:v>DIST=5,TONE=0,LEVEL=10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Sheet1!$C$1:$X$1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3000</c:v>
                      </c:pt>
                      <c:pt idx="3">
                        <c:v>4000</c:v>
                      </c:pt>
                      <c:pt idx="4">
                        <c:v>5000</c:v>
                      </c:pt>
                      <c:pt idx="5">
                        <c:v>6000</c:v>
                      </c:pt>
                      <c:pt idx="6">
                        <c:v>7000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  <c:pt idx="10">
                        <c:v>11000</c:v>
                      </c:pt>
                      <c:pt idx="11">
                        <c:v>12000</c:v>
                      </c:pt>
                      <c:pt idx="12">
                        <c:v>13000</c:v>
                      </c:pt>
                      <c:pt idx="13">
                        <c:v>14000</c:v>
                      </c:pt>
                      <c:pt idx="14">
                        <c:v>15000</c:v>
                      </c:pt>
                      <c:pt idx="15">
                        <c:v>16000</c:v>
                      </c:pt>
                      <c:pt idx="16">
                        <c:v>17000</c:v>
                      </c:pt>
                      <c:pt idx="17">
                        <c:v>18000</c:v>
                      </c:pt>
                      <c:pt idx="18">
                        <c:v>19000</c:v>
                      </c:pt>
                      <c:pt idx="19">
                        <c:v>20000</c:v>
                      </c:pt>
                      <c:pt idx="20">
                        <c:v>21000</c:v>
                      </c:pt>
                      <c:pt idx="21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Sheet1!$C$10:$X$10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-2.0740020692876047</c:v>
                      </c:pt>
                      <c:pt idx="1">
                        <c:v>-4.1480041385752093</c:v>
                      </c:pt>
                      <c:pt idx="2">
                        <c:v>-6.2220062078628144</c:v>
                      </c:pt>
                      <c:pt idx="3">
                        <c:v>-8.2960082771504187</c:v>
                      </c:pt>
                      <c:pt idx="4">
                        <c:v>-10.370010346438024</c:v>
                      </c:pt>
                      <c:pt idx="5">
                        <c:v>-12.444012415725629</c:v>
                      </c:pt>
                      <c:pt idx="6">
                        <c:v>-14.518014485013234</c:v>
                      </c:pt>
                      <c:pt idx="7">
                        <c:v>-16.592016554300837</c:v>
                      </c:pt>
                      <c:pt idx="8">
                        <c:v>-18.666018623588442</c:v>
                      </c:pt>
                      <c:pt idx="9">
                        <c:v>-20.740020692876048</c:v>
                      </c:pt>
                      <c:pt idx="10">
                        <c:v>-22.814022762163653</c:v>
                      </c:pt>
                      <c:pt idx="11">
                        <c:v>-24.888024831451258</c:v>
                      </c:pt>
                      <c:pt idx="12">
                        <c:v>-26.962026900738863</c:v>
                      </c:pt>
                      <c:pt idx="13">
                        <c:v>-29.036028970026468</c:v>
                      </c:pt>
                      <c:pt idx="14">
                        <c:v>-31.110031039314073</c:v>
                      </c:pt>
                      <c:pt idx="15">
                        <c:v>-33.184033108601675</c:v>
                      </c:pt>
                      <c:pt idx="16">
                        <c:v>-35.258035177889283</c:v>
                      </c:pt>
                      <c:pt idx="17">
                        <c:v>-37.332037247176885</c:v>
                      </c:pt>
                      <c:pt idx="18">
                        <c:v>-39.406039316464494</c:v>
                      </c:pt>
                      <c:pt idx="19">
                        <c:v>-41.480041385752095</c:v>
                      </c:pt>
                      <c:pt idx="20">
                        <c:v>-43.554043455039704</c:v>
                      </c:pt>
                      <c:pt idx="21">
                        <c:v>-45.628045524327305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427-414B-9351-42D26D848ED6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Sheet1!$A$12</c15:sqref>
                        </c15:formulaRef>
                      </c:ext>
                    </c:extLst>
                    <c:strCache>
                      <c:ptCount val="1"/>
                      <c:pt idx="0">
                        <c:v>DIST=5,TONE=5,LEVEL=10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Sheet1!$C$1:$X$1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3000</c:v>
                      </c:pt>
                      <c:pt idx="3">
                        <c:v>4000</c:v>
                      </c:pt>
                      <c:pt idx="4">
                        <c:v>5000</c:v>
                      </c:pt>
                      <c:pt idx="5">
                        <c:v>6000</c:v>
                      </c:pt>
                      <c:pt idx="6">
                        <c:v>7000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  <c:pt idx="10">
                        <c:v>11000</c:v>
                      </c:pt>
                      <c:pt idx="11">
                        <c:v>12000</c:v>
                      </c:pt>
                      <c:pt idx="12">
                        <c:v>13000</c:v>
                      </c:pt>
                      <c:pt idx="13">
                        <c:v>14000</c:v>
                      </c:pt>
                      <c:pt idx="14">
                        <c:v>15000</c:v>
                      </c:pt>
                      <c:pt idx="15">
                        <c:v>16000</c:v>
                      </c:pt>
                      <c:pt idx="16">
                        <c:v>17000</c:v>
                      </c:pt>
                      <c:pt idx="17">
                        <c:v>18000</c:v>
                      </c:pt>
                      <c:pt idx="18">
                        <c:v>19000</c:v>
                      </c:pt>
                      <c:pt idx="19">
                        <c:v>20000</c:v>
                      </c:pt>
                      <c:pt idx="20">
                        <c:v>21000</c:v>
                      </c:pt>
                      <c:pt idx="21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Sheet1!$C$12:$X$12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-1.784787201230625</c:v>
                      </c:pt>
                      <c:pt idx="1">
                        <c:v>-3.5695744024612499</c:v>
                      </c:pt>
                      <c:pt idx="2">
                        <c:v>-5.3543616036918751</c:v>
                      </c:pt>
                      <c:pt idx="3">
                        <c:v>-7.1391488049224998</c:v>
                      </c:pt>
                      <c:pt idx="4">
                        <c:v>-8.9239360061531254</c:v>
                      </c:pt>
                      <c:pt idx="5">
                        <c:v>-10.70872320738375</c:v>
                      </c:pt>
                      <c:pt idx="6">
                        <c:v>-12.493510408614375</c:v>
                      </c:pt>
                      <c:pt idx="7">
                        <c:v>-14.278297609845</c:v>
                      </c:pt>
                      <c:pt idx="8">
                        <c:v>-16.063084811075626</c:v>
                      </c:pt>
                      <c:pt idx="9">
                        <c:v>-17.847872012306251</c:v>
                      </c:pt>
                      <c:pt idx="10">
                        <c:v>-19.632659213536876</c:v>
                      </c:pt>
                      <c:pt idx="11">
                        <c:v>-21.4174464147675</c:v>
                      </c:pt>
                      <c:pt idx="12">
                        <c:v>-23.202233615998125</c:v>
                      </c:pt>
                      <c:pt idx="13">
                        <c:v>-24.98702081722875</c:v>
                      </c:pt>
                      <c:pt idx="14">
                        <c:v>-26.771808018459375</c:v>
                      </c:pt>
                      <c:pt idx="15">
                        <c:v>-28.556595219689999</c:v>
                      </c:pt>
                      <c:pt idx="16">
                        <c:v>-30.341382420920624</c:v>
                      </c:pt>
                      <c:pt idx="17">
                        <c:v>-32.126169622151252</c:v>
                      </c:pt>
                      <c:pt idx="18">
                        <c:v>-33.910956823381873</c:v>
                      </c:pt>
                      <c:pt idx="19">
                        <c:v>-35.695744024612502</c:v>
                      </c:pt>
                      <c:pt idx="20">
                        <c:v>-37.480531225843123</c:v>
                      </c:pt>
                      <c:pt idx="21">
                        <c:v>-39.265318427073751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427-414B-9351-42D26D848ED6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Sheet1!$A$16</c15:sqref>
                        </c15:formulaRef>
                      </c:ext>
                    </c:extLst>
                    <c:strCache>
                      <c:ptCount val="1"/>
                      <c:pt idx="0">
                        <c:v>DIST=10,TONE=0,LEVEL=10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Sheet1!$C$1:$X$1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3000</c:v>
                      </c:pt>
                      <c:pt idx="3">
                        <c:v>4000</c:v>
                      </c:pt>
                      <c:pt idx="4">
                        <c:v>5000</c:v>
                      </c:pt>
                      <c:pt idx="5">
                        <c:v>6000</c:v>
                      </c:pt>
                      <c:pt idx="6">
                        <c:v>7000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  <c:pt idx="10">
                        <c:v>11000</c:v>
                      </c:pt>
                      <c:pt idx="11">
                        <c:v>12000</c:v>
                      </c:pt>
                      <c:pt idx="12">
                        <c:v>13000</c:v>
                      </c:pt>
                      <c:pt idx="13">
                        <c:v>14000</c:v>
                      </c:pt>
                      <c:pt idx="14">
                        <c:v>15000</c:v>
                      </c:pt>
                      <c:pt idx="15">
                        <c:v>16000</c:v>
                      </c:pt>
                      <c:pt idx="16">
                        <c:v>17000</c:v>
                      </c:pt>
                      <c:pt idx="17">
                        <c:v>18000</c:v>
                      </c:pt>
                      <c:pt idx="18">
                        <c:v>19000</c:v>
                      </c:pt>
                      <c:pt idx="19">
                        <c:v>20000</c:v>
                      </c:pt>
                      <c:pt idx="20">
                        <c:v>21000</c:v>
                      </c:pt>
                      <c:pt idx="21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Sheet1!$C$16:$X$16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-1.450530207537114</c:v>
                      </c:pt>
                      <c:pt idx="1">
                        <c:v>-2.9010604150742281</c:v>
                      </c:pt>
                      <c:pt idx="2">
                        <c:v>-4.3515906226113419</c:v>
                      </c:pt>
                      <c:pt idx="3">
                        <c:v>-5.8021208301484561</c:v>
                      </c:pt>
                      <c:pt idx="4">
                        <c:v>-7.2526510376855704</c:v>
                      </c:pt>
                      <c:pt idx="5">
                        <c:v>-8.7031812452226838</c:v>
                      </c:pt>
                      <c:pt idx="6">
                        <c:v>-10.153711452759799</c:v>
                      </c:pt>
                      <c:pt idx="7">
                        <c:v>-11.604241660296912</c:v>
                      </c:pt>
                      <c:pt idx="8">
                        <c:v>-13.054771867834026</c:v>
                      </c:pt>
                      <c:pt idx="9">
                        <c:v>-14.505302075371141</c:v>
                      </c:pt>
                      <c:pt idx="10">
                        <c:v>-15.955832282908254</c:v>
                      </c:pt>
                      <c:pt idx="11">
                        <c:v>-17.406362490445368</c:v>
                      </c:pt>
                      <c:pt idx="12">
                        <c:v>-18.856892697982481</c:v>
                      </c:pt>
                      <c:pt idx="13">
                        <c:v>-20.307422905519598</c:v>
                      </c:pt>
                      <c:pt idx="14">
                        <c:v>-21.757953113056711</c:v>
                      </c:pt>
                      <c:pt idx="15">
                        <c:v>-23.208483320593825</c:v>
                      </c:pt>
                      <c:pt idx="16">
                        <c:v>-24.659013528130938</c:v>
                      </c:pt>
                      <c:pt idx="17">
                        <c:v>-26.109543735668051</c:v>
                      </c:pt>
                      <c:pt idx="18">
                        <c:v>-27.560073943205165</c:v>
                      </c:pt>
                      <c:pt idx="19">
                        <c:v>-29.010604150742282</c:v>
                      </c:pt>
                      <c:pt idx="20">
                        <c:v>-30.461134358279395</c:v>
                      </c:pt>
                      <c:pt idx="21">
                        <c:v>-31.911664565816508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427-414B-9351-42D26D848ED6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Sheet1!$A$18</c15:sqref>
                        </c15:formulaRef>
                      </c:ext>
                    </c:extLst>
                    <c:strCache>
                      <c:ptCount val="1"/>
                      <c:pt idx="0">
                        <c:v>DIST=10,TONE=5,LEVEL=10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Sheet1!$C$1:$X$1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3000</c:v>
                      </c:pt>
                      <c:pt idx="3">
                        <c:v>4000</c:v>
                      </c:pt>
                      <c:pt idx="4">
                        <c:v>5000</c:v>
                      </c:pt>
                      <c:pt idx="5">
                        <c:v>6000</c:v>
                      </c:pt>
                      <c:pt idx="6">
                        <c:v>7000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  <c:pt idx="10">
                        <c:v>11000</c:v>
                      </c:pt>
                      <c:pt idx="11">
                        <c:v>12000</c:v>
                      </c:pt>
                      <c:pt idx="12">
                        <c:v>13000</c:v>
                      </c:pt>
                      <c:pt idx="13">
                        <c:v>14000</c:v>
                      </c:pt>
                      <c:pt idx="14">
                        <c:v>15000</c:v>
                      </c:pt>
                      <c:pt idx="15">
                        <c:v>16000</c:v>
                      </c:pt>
                      <c:pt idx="16">
                        <c:v>17000</c:v>
                      </c:pt>
                      <c:pt idx="17">
                        <c:v>18000</c:v>
                      </c:pt>
                      <c:pt idx="18">
                        <c:v>19000</c:v>
                      </c:pt>
                      <c:pt idx="19">
                        <c:v>20000</c:v>
                      </c:pt>
                      <c:pt idx="20">
                        <c:v>21000</c:v>
                      </c:pt>
                      <c:pt idx="21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Sheet1!$C$18:$X$18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-1.1089521641379729</c:v>
                      </c:pt>
                      <c:pt idx="1">
                        <c:v>-2.2179043282759459</c:v>
                      </c:pt>
                      <c:pt idx="2">
                        <c:v>-3.3268564924139192</c:v>
                      </c:pt>
                      <c:pt idx="3">
                        <c:v>-4.4358086565518917</c:v>
                      </c:pt>
                      <c:pt idx="4">
                        <c:v>-5.5447608206898655</c:v>
                      </c:pt>
                      <c:pt idx="5">
                        <c:v>-6.6537129848278385</c:v>
                      </c:pt>
                      <c:pt idx="6">
                        <c:v>-7.7626651489658114</c:v>
                      </c:pt>
                      <c:pt idx="7">
                        <c:v>-8.8716173131037834</c:v>
                      </c:pt>
                      <c:pt idx="8">
                        <c:v>-9.9805694772417581</c:v>
                      </c:pt>
                      <c:pt idx="9">
                        <c:v>-11.089521641379731</c:v>
                      </c:pt>
                      <c:pt idx="10">
                        <c:v>-12.198473805517704</c:v>
                      </c:pt>
                      <c:pt idx="11">
                        <c:v>-13.307425969655677</c:v>
                      </c:pt>
                      <c:pt idx="12">
                        <c:v>-14.41637813379365</c:v>
                      </c:pt>
                      <c:pt idx="13">
                        <c:v>-15.525330297931623</c:v>
                      </c:pt>
                      <c:pt idx="14">
                        <c:v>-16.634282462069596</c:v>
                      </c:pt>
                      <c:pt idx="15">
                        <c:v>-17.743234626207567</c:v>
                      </c:pt>
                      <c:pt idx="16">
                        <c:v>-18.852186790345542</c:v>
                      </c:pt>
                      <c:pt idx="17">
                        <c:v>-19.961138954483516</c:v>
                      </c:pt>
                      <c:pt idx="18">
                        <c:v>-21.070091118621487</c:v>
                      </c:pt>
                      <c:pt idx="19">
                        <c:v>-22.179043282759462</c:v>
                      </c:pt>
                      <c:pt idx="20">
                        <c:v>-23.287995446897433</c:v>
                      </c:pt>
                      <c:pt idx="21">
                        <c:v>-24.396947611035408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427-414B-9351-42D26D848ED6}"/>
                  </c:ext>
                </c:extLst>
              </c15:ser>
            </c15:filteredScatterSeries>
          </c:ext>
        </c:extLst>
      </c:scatterChart>
      <c:valAx>
        <c:axId val="1464746735"/>
        <c:scaling>
          <c:orientation val="minMax"/>
          <c:max val="22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Frequency(Hz)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4749135"/>
        <c:crosses val="autoZero"/>
        <c:crossBetween val="midCat"/>
      </c:valAx>
      <c:valAx>
        <c:axId val="1464749135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Amplitude(dB)</a:t>
                </a:r>
                <a:endParaRPr lang="ja-JP" altLang="en-US"/>
              </a:p>
            </c:rich>
          </c:tx>
          <c:layout>
            <c:manualLayout>
              <c:xMode val="edge"/>
              <c:yMode val="edge"/>
              <c:x val="2.416428252664644E-2"/>
              <c:y val="0.2715867303216861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47467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6"/>
          <c:order val="6"/>
          <c:tx>
            <c:strRef>
              <c:f>Sheet1!$A$16</c:f>
              <c:strCache>
                <c:ptCount val="1"/>
                <c:pt idx="0">
                  <c:v>DIST=10,TONE=0,LEVEL=10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Sheet1!$C$1:$X$1</c:f>
              <c:numCache>
                <c:formatCode>General</c:formatCode>
                <c:ptCount val="2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</c:numCache>
            </c:numRef>
          </c:xVal>
          <c:yVal>
            <c:numRef>
              <c:f>Sheet1!$C$16:$X$16</c:f>
              <c:numCache>
                <c:formatCode>General</c:formatCode>
                <c:ptCount val="22"/>
                <c:pt idx="0">
                  <c:v>-1.450530207537114</c:v>
                </c:pt>
                <c:pt idx="1">
                  <c:v>-2.9010604150742281</c:v>
                </c:pt>
                <c:pt idx="2">
                  <c:v>-4.3515906226113419</c:v>
                </c:pt>
                <c:pt idx="3">
                  <c:v>-5.8021208301484561</c:v>
                </c:pt>
                <c:pt idx="4">
                  <c:v>-7.2526510376855704</c:v>
                </c:pt>
                <c:pt idx="5">
                  <c:v>-8.7031812452226838</c:v>
                </c:pt>
                <c:pt idx="6">
                  <c:v>-10.153711452759799</c:v>
                </c:pt>
                <c:pt idx="7">
                  <c:v>-11.604241660296912</c:v>
                </c:pt>
                <c:pt idx="8">
                  <c:v>-13.054771867834026</c:v>
                </c:pt>
                <c:pt idx="9">
                  <c:v>-14.505302075371141</c:v>
                </c:pt>
                <c:pt idx="10">
                  <c:v>-15.955832282908254</c:v>
                </c:pt>
                <c:pt idx="11">
                  <c:v>-17.406362490445368</c:v>
                </c:pt>
                <c:pt idx="12">
                  <c:v>-18.856892697982481</c:v>
                </c:pt>
                <c:pt idx="13">
                  <c:v>-20.307422905519598</c:v>
                </c:pt>
                <c:pt idx="14">
                  <c:v>-21.757953113056711</c:v>
                </c:pt>
                <c:pt idx="15">
                  <c:v>-23.208483320593825</c:v>
                </c:pt>
                <c:pt idx="16">
                  <c:v>-24.659013528130938</c:v>
                </c:pt>
                <c:pt idx="17">
                  <c:v>-26.109543735668051</c:v>
                </c:pt>
                <c:pt idx="18">
                  <c:v>-27.560073943205165</c:v>
                </c:pt>
                <c:pt idx="19">
                  <c:v>-29.010604150742282</c:v>
                </c:pt>
                <c:pt idx="20">
                  <c:v>-30.461134358279395</c:v>
                </c:pt>
                <c:pt idx="21">
                  <c:v>-31.911664565816508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273-467B-94A2-1ACBCA744FD5}"/>
            </c:ext>
          </c:extLst>
        </c:ser>
        <c:ser>
          <c:idx val="7"/>
          <c:order val="7"/>
          <c:tx>
            <c:strRef>
              <c:f>Sheet1!$A$18</c:f>
              <c:strCache>
                <c:ptCount val="1"/>
                <c:pt idx="0">
                  <c:v>DIST=10,TONE=5,LEVEL=10</c:v>
                </c:pt>
              </c:strCache>
            </c:strRef>
          </c:tx>
          <c:spPr>
            <a:ln w="476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Sheet1!$C$1:$X$1</c:f>
              <c:numCache>
                <c:formatCode>General</c:formatCode>
                <c:ptCount val="2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</c:numCache>
            </c:numRef>
          </c:xVal>
          <c:yVal>
            <c:numRef>
              <c:f>Sheet1!$C$18:$X$18</c:f>
              <c:numCache>
                <c:formatCode>General</c:formatCode>
                <c:ptCount val="22"/>
                <c:pt idx="0">
                  <c:v>-1.1089521641379729</c:v>
                </c:pt>
                <c:pt idx="1">
                  <c:v>-2.2179043282759459</c:v>
                </c:pt>
                <c:pt idx="2">
                  <c:v>-3.3268564924139192</c:v>
                </c:pt>
                <c:pt idx="3">
                  <c:v>-4.4358086565518917</c:v>
                </c:pt>
                <c:pt idx="4">
                  <c:v>-5.5447608206898655</c:v>
                </c:pt>
                <c:pt idx="5">
                  <c:v>-6.6537129848278385</c:v>
                </c:pt>
                <c:pt idx="6">
                  <c:v>-7.7626651489658114</c:v>
                </c:pt>
                <c:pt idx="7">
                  <c:v>-8.8716173131037834</c:v>
                </c:pt>
                <c:pt idx="8">
                  <c:v>-9.9805694772417581</c:v>
                </c:pt>
                <c:pt idx="9">
                  <c:v>-11.089521641379731</c:v>
                </c:pt>
                <c:pt idx="10">
                  <c:v>-12.198473805517704</c:v>
                </c:pt>
                <c:pt idx="11">
                  <c:v>-13.307425969655677</c:v>
                </c:pt>
                <c:pt idx="12">
                  <c:v>-14.41637813379365</c:v>
                </c:pt>
                <c:pt idx="13">
                  <c:v>-15.525330297931623</c:v>
                </c:pt>
                <c:pt idx="14">
                  <c:v>-16.634282462069596</c:v>
                </c:pt>
                <c:pt idx="15">
                  <c:v>-17.743234626207567</c:v>
                </c:pt>
                <c:pt idx="16">
                  <c:v>-18.852186790345542</c:v>
                </c:pt>
                <c:pt idx="17">
                  <c:v>-19.961138954483516</c:v>
                </c:pt>
                <c:pt idx="18">
                  <c:v>-21.070091118621487</c:v>
                </c:pt>
                <c:pt idx="19">
                  <c:v>-22.179043282759462</c:v>
                </c:pt>
                <c:pt idx="20">
                  <c:v>-23.287995446897433</c:v>
                </c:pt>
                <c:pt idx="21">
                  <c:v>-24.396947611035408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273-467B-94A2-1ACBCA744FD5}"/>
            </c:ext>
          </c:extLst>
        </c:ser>
        <c:ser>
          <c:idx val="8"/>
          <c:order val="8"/>
          <c:tx>
            <c:strRef>
              <c:f>Sheet1!$A$20</c:f>
              <c:strCache>
                <c:ptCount val="1"/>
                <c:pt idx="0">
                  <c:v>DIST=10,TONE=10,LEVEL=10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Sheet1!$C$1:$X$1</c:f>
              <c:numCache>
                <c:formatCode>General</c:formatCode>
                <c:ptCount val="2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</c:numCache>
            </c:numRef>
          </c:xVal>
          <c:yVal>
            <c:numRef>
              <c:f>Sheet1!$C$20:$X$20</c:f>
              <c:numCache>
                <c:formatCode>General</c:formatCode>
                <c:ptCount val="22"/>
                <c:pt idx="0">
                  <c:v>-1.113758664104338</c:v>
                </c:pt>
                <c:pt idx="1">
                  <c:v>-2.227517328208676</c:v>
                </c:pt>
                <c:pt idx="2">
                  <c:v>-3.341275992313014</c:v>
                </c:pt>
                <c:pt idx="3">
                  <c:v>-4.455034656417352</c:v>
                </c:pt>
                <c:pt idx="4">
                  <c:v>-5.5687933205216904</c:v>
                </c:pt>
                <c:pt idx="5">
                  <c:v>-6.682551984626028</c:v>
                </c:pt>
                <c:pt idx="6">
                  <c:v>-7.7963106487303664</c:v>
                </c:pt>
                <c:pt idx="7">
                  <c:v>-8.9100693128347039</c:v>
                </c:pt>
                <c:pt idx="8">
                  <c:v>-10.023827976939042</c:v>
                </c:pt>
                <c:pt idx="9">
                  <c:v>-11.137586641043381</c:v>
                </c:pt>
                <c:pt idx="10">
                  <c:v>-12.251345305147717</c:v>
                </c:pt>
                <c:pt idx="11">
                  <c:v>-13.365103969252056</c:v>
                </c:pt>
                <c:pt idx="12">
                  <c:v>-14.478862633356394</c:v>
                </c:pt>
                <c:pt idx="13">
                  <c:v>-15.592621297460733</c:v>
                </c:pt>
                <c:pt idx="14">
                  <c:v>-16.706379961565069</c:v>
                </c:pt>
                <c:pt idx="15">
                  <c:v>-17.820138625669408</c:v>
                </c:pt>
                <c:pt idx="16">
                  <c:v>-18.933897289773746</c:v>
                </c:pt>
                <c:pt idx="17">
                  <c:v>-20.047655953878085</c:v>
                </c:pt>
                <c:pt idx="18">
                  <c:v>-21.161414617982423</c:v>
                </c:pt>
                <c:pt idx="19">
                  <c:v>-22.275173282086762</c:v>
                </c:pt>
                <c:pt idx="20">
                  <c:v>-23.388931946191097</c:v>
                </c:pt>
                <c:pt idx="21">
                  <c:v>-24.502690610295435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273-467B-94A2-1ACBCA744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4746735"/>
        <c:axId val="1464749135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Sheet1!$A$4</c15:sqref>
                        </c15:formulaRef>
                      </c:ext>
                    </c:extLst>
                    <c:strCache>
                      <c:ptCount val="1"/>
                      <c:pt idx="0">
                        <c:v>DIST=0,TONE=0,LEVEL=10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Sheet1!$C$1:$X$1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3000</c:v>
                      </c:pt>
                      <c:pt idx="3">
                        <c:v>4000</c:v>
                      </c:pt>
                      <c:pt idx="4">
                        <c:v>5000</c:v>
                      </c:pt>
                      <c:pt idx="5">
                        <c:v>6000</c:v>
                      </c:pt>
                      <c:pt idx="6">
                        <c:v>7000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  <c:pt idx="10">
                        <c:v>11000</c:v>
                      </c:pt>
                      <c:pt idx="11">
                        <c:v>12000</c:v>
                      </c:pt>
                      <c:pt idx="12">
                        <c:v>13000</c:v>
                      </c:pt>
                      <c:pt idx="13">
                        <c:v>14000</c:v>
                      </c:pt>
                      <c:pt idx="14">
                        <c:v>15000</c:v>
                      </c:pt>
                      <c:pt idx="15">
                        <c:v>16000</c:v>
                      </c:pt>
                      <c:pt idx="16">
                        <c:v>17000</c:v>
                      </c:pt>
                      <c:pt idx="17">
                        <c:v>18000</c:v>
                      </c:pt>
                      <c:pt idx="18">
                        <c:v>19000</c:v>
                      </c:pt>
                      <c:pt idx="19">
                        <c:v>20000</c:v>
                      </c:pt>
                      <c:pt idx="20">
                        <c:v>21000</c:v>
                      </c:pt>
                      <c:pt idx="21">
                        <c:v>22000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Sheet1!$C$4:$X$4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-2.626600023826037</c:v>
                      </c:pt>
                      <c:pt idx="1">
                        <c:v>-5.2532000476520739</c:v>
                      </c:pt>
                      <c:pt idx="2">
                        <c:v>-7.8798000714781109</c:v>
                      </c:pt>
                      <c:pt idx="3">
                        <c:v>-10.506400095304148</c:v>
                      </c:pt>
                      <c:pt idx="4">
                        <c:v>-13.133000119130184</c:v>
                      </c:pt>
                      <c:pt idx="5">
                        <c:v>-15.759600142956222</c:v>
                      </c:pt>
                      <c:pt idx="6">
                        <c:v>-18.386200166782256</c:v>
                      </c:pt>
                      <c:pt idx="7">
                        <c:v>-21.012800190608296</c:v>
                      </c:pt>
                      <c:pt idx="8">
                        <c:v>-23.639400214434332</c:v>
                      </c:pt>
                      <c:pt idx="9">
                        <c:v>-26.266000238260368</c:v>
                      </c:pt>
                      <c:pt idx="10">
                        <c:v>-28.892600262086404</c:v>
                      </c:pt>
                      <c:pt idx="11">
                        <c:v>-31.519200285912444</c:v>
                      </c:pt>
                      <c:pt idx="12">
                        <c:v>-34.145800309738476</c:v>
                      </c:pt>
                      <c:pt idx="13">
                        <c:v>-36.772400333564512</c:v>
                      </c:pt>
                      <c:pt idx="14">
                        <c:v>-39.399000357390555</c:v>
                      </c:pt>
                      <c:pt idx="15">
                        <c:v>-42.025600381216591</c:v>
                      </c:pt>
                      <c:pt idx="16">
                        <c:v>-44.652200405042628</c:v>
                      </c:pt>
                      <c:pt idx="17">
                        <c:v>-47.278800428868664</c:v>
                      </c:pt>
                      <c:pt idx="18">
                        <c:v>-49.9054004526947</c:v>
                      </c:pt>
                      <c:pt idx="19">
                        <c:v>-52.532000476520736</c:v>
                      </c:pt>
                      <c:pt idx="20">
                        <c:v>-55.158600500346772</c:v>
                      </c:pt>
                      <c:pt idx="21">
                        <c:v>-57.785200524172808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4273-467B-94A2-1ACBCA744FD5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</c15:sqref>
                        </c15:formulaRef>
                      </c:ext>
                    </c:extLst>
                    <c:strCache>
                      <c:ptCount val="1"/>
                      <c:pt idx="0">
                        <c:v>DIST=0,TONE=5,LEVEL=10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Sheet1!$C$1:$X$1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3000</c:v>
                      </c:pt>
                      <c:pt idx="3">
                        <c:v>4000</c:v>
                      </c:pt>
                      <c:pt idx="4">
                        <c:v>5000</c:v>
                      </c:pt>
                      <c:pt idx="5">
                        <c:v>6000</c:v>
                      </c:pt>
                      <c:pt idx="6">
                        <c:v>7000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  <c:pt idx="10">
                        <c:v>11000</c:v>
                      </c:pt>
                      <c:pt idx="11">
                        <c:v>12000</c:v>
                      </c:pt>
                      <c:pt idx="12">
                        <c:v>13000</c:v>
                      </c:pt>
                      <c:pt idx="13">
                        <c:v>14000</c:v>
                      </c:pt>
                      <c:pt idx="14">
                        <c:v>15000</c:v>
                      </c:pt>
                      <c:pt idx="15">
                        <c:v>16000</c:v>
                      </c:pt>
                      <c:pt idx="16">
                        <c:v>17000</c:v>
                      </c:pt>
                      <c:pt idx="17">
                        <c:v>18000</c:v>
                      </c:pt>
                      <c:pt idx="18">
                        <c:v>19000</c:v>
                      </c:pt>
                      <c:pt idx="19">
                        <c:v>20000</c:v>
                      </c:pt>
                      <c:pt idx="20">
                        <c:v>21000</c:v>
                      </c:pt>
                      <c:pt idx="21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Sheet1!$C$6:$X$6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-2.1714442857774019</c:v>
                      </c:pt>
                      <c:pt idx="1">
                        <c:v>-4.3428885715548038</c:v>
                      </c:pt>
                      <c:pt idx="2">
                        <c:v>-6.5143328573322057</c:v>
                      </c:pt>
                      <c:pt idx="3">
                        <c:v>-8.6857771431096076</c:v>
                      </c:pt>
                      <c:pt idx="4">
                        <c:v>-10.85722142888701</c:v>
                      </c:pt>
                      <c:pt idx="5">
                        <c:v>-13.028665714664411</c:v>
                      </c:pt>
                      <c:pt idx="6">
                        <c:v>-15.200110000441814</c:v>
                      </c:pt>
                      <c:pt idx="7">
                        <c:v>-17.371554286219215</c:v>
                      </c:pt>
                      <c:pt idx="8">
                        <c:v>-19.542998571996616</c:v>
                      </c:pt>
                      <c:pt idx="9">
                        <c:v>-21.714442857774021</c:v>
                      </c:pt>
                      <c:pt idx="10">
                        <c:v>-23.885887143551422</c:v>
                      </c:pt>
                      <c:pt idx="11">
                        <c:v>-26.057331429328823</c:v>
                      </c:pt>
                      <c:pt idx="12">
                        <c:v>-28.228775715106227</c:v>
                      </c:pt>
                      <c:pt idx="13">
                        <c:v>-30.400220000883628</c:v>
                      </c:pt>
                      <c:pt idx="14">
                        <c:v>-32.571664286661033</c:v>
                      </c:pt>
                      <c:pt idx="15">
                        <c:v>-34.74310857243843</c:v>
                      </c:pt>
                      <c:pt idx="16">
                        <c:v>-36.914552858215835</c:v>
                      </c:pt>
                      <c:pt idx="17">
                        <c:v>-39.085997143993232</c:v>
                      </c:pt>
                      <c:pt idx="18">
                        <c:v>-41.257441429770637</c:v>
                      </c:pt>
                      <c:pt idx="19">
                        <c:v>-43.428885715548041</c:v>
                      </c:pt>
                      <c:pt idx="20">
                        <c:v>-45.600330001325439</c:v>
                      </c:pt>
                      <c:pt idx="21">
                        <c:v>-47.771774287102843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273-467B-94A2-1ACBCA744FD5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Sheet1!$A$8</c15:sqref>
                        </c15:formulaRef>
                      </c:ext>
                    </c:extLst>
                    <c:strCache>
                      <c:ptCount val="1"/>
                      <c:pt idx="0">
                        <c:v>DIST=0,TONE=10,LEVEL=10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Sheet1!$C$1:$X$1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3000</c:v>
                      </c:pt>
                      <c:pt idx="3">
                        <c:v>4000</c:v>
                      </c:pt>
                      <c:pt idx="4">
                        <c:v>5000</c:v>
                      </c:pt>
                      <c:pt idx="5">
                        <c:v>6000</c:v>
                      </c:pt>
                      <c:pt idx="6">
                        <c:v>7000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  <c:pt idx="10">
                        <c:v>11000</c:v>
                      </c:pt>
                      <c:pt idx="11">
                        <c:v>12000</c:v>
                      </c:pt>
                      <c:pt idx="12">
                        <c:v>13000</c:v>
                      </c:pt>
                      <c:pt idx="13">
                        <c:v>14000</c:v>
                      </c:pt>
                      <c:pt idx="14">
                        <c:v>15000</c:v>
                      </c:pt>
                      <c:pt idx="15">
                        <c:v>16000</c:v>
                      </c:pt>
                      <c:pt idx="16">
                        <c:v>17000</c:v>
                      </c:pt>
                      <c:pt idx="17">
                        <c:v>18000</c:v>
                      </c:pt>
                      <c:pt idx="18">
                        <c:v>19000</c:v>
                      </c:pt>
                      <c:pt idx="19">
                        <c:v>20000</c:v>
                      </c:pt>
                      <c:pt idx="20">
                        <c:v>21000</c:v>
                      </c:pt>
                      <c:pt idx="21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Sheet1!$C$8:$X$8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-2.220966767695999</c:v>
                      </c:pt>
                      <c:pt idx="1">
                        <c:v>-4.441933535391998</c:v>
                      </c:pt>
                      <c:pt idx="2">
                        <c:v>-6.6629003030879961</c:v>
                      </c:pt>
                      <c:pt idx="3">
                        <c:v>-8.883867070783996</c:v>
                      </c:pt>
                      <c:pt idx="4">
                        <c:v>-11.104833838479994</c:v>
                      </c:pt>
                      <c:pt idx="5">
                        <c:v>-13.325800606175992</c:v>
                      </c:pt>
                      <c:pt idx="6">
                        <c:v>-15.546767373871992</c:v>
                      </c:pt>
                      <c:pt idx="7">
                        <c:v>-17.767734141567992</c:v>
                      </c:pt>
                      <c:pt idx="8">
                        <c:v>-19.98870090926399</c:v>
                      </c:pt>
                      <c:pt idx="9">
                        <c:v>-22.209667676959988</c:v>
                      </c:pt>
                      <c:pt idx="10">
                        <c:v>-24.430634444655986</c:v>
                      </c:pt>
                      <c:pt idx="11">
                        <c:v>-26.651601212351984</c:v>
                      </c:pt>
                      <c:pt idx="12">
                        <c:v>-28.872567980047986</c:v>
                      </c:pt>
                      <c:pt idx="13">
                        <c:v>-31.093534747743984</c:v>
                      </c:pt>
                      <c:pt idx="14">
                        <c:v>-33.314501515439979</c:v>
                      </c:pt>
                      <c:pt idx="15">
                        <c:v>-35.535468283135984</c:v>
                      </c:pt>
                      <c:pt idx="16">
                        <c:v>-37.756435050831982</c:v>
                      </c:pt>
                      <c:pt idx="17">
                        <c:v>-39.97740181852798</c:v>
                      </c:pt>
                      <c:pt idx="18">
                        <c:v>-42.198368586223978</c:v>
                      </c:pt>
                      <c:pt idx="19">
                        <c:v>-44.419335353919976</c:v>
                      </c:pt>
                      <c:pt idx="20">
                        <c:v>-46.640302121615974</c:v>
                      </c:pt>
                      <c:pt idx="21">
                        <c:v>-48.861268889311972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273-467B-94A2-1ACBCA744FD5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Sheet1!$A$10</c15:sqref>
                        </c15:formulaRef>
                      </c:ext>
                    </c:extLst>
                    <c:strCache>
                      <c:ptCount val="1"/>
                      <c:pt idx="0">
                        <c:v>DIST=5,TONE=0,LEVEL=10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Sheet1!$C$1:$X$1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3000</c:v>
                      </c:pt>
                      <c:pt idx="3">
                        <c:v>4000</c:v>
                      </c:pt>
                      <c:pt idx="4">
                        <c:v>5000</c:v>
                      </c:pt>
                      <c:pt idx="5">
                        <c:v>6000</c:v>
                      </c:pt>
                      <c:pt idx="6">
                        <c:v>7000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  <c:pt idx="10">
                        <c:v>11000</c:v>
                      </c:pt>
                      <c:pt idx="11">
                        <c:v>12000</c:v>
                      </c:pt>
                      <c:pt idx="12">
                        <c:v>13000</c:v>
                      </c:pt>
                      <c:pt idx="13">
                        <c:v>14000</c:v>
                      </c:pt>
                      <c:pt idx="14">
                        <c:v>15000</c:v>
                      </c:pt>
                      <c:pt idx="15">
                        <c:v>16000</c:v>
                      </c:pt>
                      <c:pt idx="16">
                        <c:v>17000</c:v>
                      </c:pt>
                      <c:pt idx="17">
                        <c:v>18000</c:v>
                      </c:pt>
                      <c:pt idx="18">
                        <c:v>19000</c:v>
                      </c:pt>
                      <c:pt idx="19">
                        <c:v>20000</c:v>
                      </c:pt>
                      <c:pt idx="20">
                        <c:v>21000</c:v>
                      </c:pt>
                      <c:pt idx="21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Sheet1!$C$10:$X$10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-2.0740020692876047</c:v>
                      </c:pt>
                      <c:pt idx="1">
                        <c:v>-4.1480041385752093</c:v>
                      </c:pt>
                      <c:pt idx="2">
                        <c:v>-6.2220062078628144</c:v>
                      </c:pt>
                      <c:pt idx="3">
                        <c:v>-8.2960082771504187</c:v>
                      </c:pt>
                      <c:pt idx="4">
                        <c:v>-10.370010346438024</c:v>
                      </c:pt>
                      <c:pt idx="5">
                        <c:v>-12.444012415725629</c:v>
                      </c:pt>
                      <c:pt idx="6">
                        <c:v>-14.518014485013234</c:v>
                      </c:pt>
                      <c:pt idx="7">
                        <c:v>-16.592016554300837</c:v>
                      </c:pt>
                      <c:pt idx="8">
                        <c:v>-18.666018623588442</c:v>
                      </c:pt>
                      <c:pt idx="9">
                        <c:v>-20.740020692876048</c:v>
                      </c:pt>
                      <c:pt idx="10">
                        <c:v>-22.814022762163653</c:v>
                      </c:pt>
                      <c:pt idx="11">
                        <c:v>-24.888024831451258</c:v>
                      </c:pt>
                      <c:pt idx="12">
                        <c:v>-26.962026900738863</c:v>
                      </c:pt>
                      <c:pt idx="13">
                        <c:v>-29.036028970026468</c:v>
                      </c:pt>
                      <c:pt idx="14">
                        <c:v>-31.110031039314073</c:v>
                      </c:pt>
                      <c:pt idx="15">
                        <c:v>-33.184033108601675</c:v>
                      </c:pt>
                      <c:pt idx="16">
                        <c:v>-35.258035177889283</c:v>
                      </c:pt>
                      <c:pt idx="17">
                        <c:v>-37.332037247176885</c:v>
                      </c:pt>
                      <c:pt idx="18">
                        <c:v>-39.406039316464494</c:v>
                      </c:pt>
                      <c:pt idx="19">
                        <c:v>-41.480041385752095</c:v>
                      </c:pt>
                      <c:pt idx="20">
                        <c:v>-43.554043455039704</c:v>
                      </c:pt>
                      <c:pt idx="21">
                        <c:v>-45.628045524327305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273-467B-94A2-1ACBCA744FD5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Sheet1!$A$12</c15:sqref>
                        </c15:formulaRef>
                      </c:ext>
                    </c:extLst>
                    <c:strCache>
                      <c:ptCount val="1"/>
                      <c:pt idx="0">
                        <c:v>DIST=5,TONE=5,LEVEL=10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Sheet1!$C$1:$X$1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3000</c:v>
                      </c:pt>
                      <c:pt idx="3">
                        <c:v>4000</c:v>
                      </c:pt>
                      <c:pt idx="4">
                        <c:v>5000</c:v>
                      </c:pt>
                      <c:pt idx="5">
                        <c:v>6000</c:v>
                      </c:pt>
                      <c:pt idx="6">
                        <c:v>7000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  <c:pt idx="10">
                        <c:v>11000</c:v>
                      </c:pt>
                      <c:pt idx="11">
                        <c:v>12000</c:v>
                      </c:pt>
                      <c:pt idx="12">
                        <c:v>13000</c:v>
                      </c:pt>
                      <c:pt idx="13">
                        <c:v>14000</c:v>
                      </c:pt>
                      <c:pt idx="14">
                        <c:v>15000</c:v>
                      </c:pt>
                      <c:pt idx="15">
                        <c:v>16000</c:v>
                      </c:pt>
                      <c:pt idx="16">
                        <c:v>17000</c:v>
                      </c:pt>
                      <c:pt idx="17">
                        <c:v>18000</c:v>
                      </c:pt>
                      <c:pt idx="18">
                        <c:v>19000</c:v>
                      </c:pt>
                      <c:pt idx="19">
                        <c:v>20000</c:v>
                      </c:pt>
                      <c:pt idx="20">
                        <c:v>21000</c:v>
                      </c:pt>
                      <c:pt idx="21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Sheet1!$C$12:$X$12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-1.784787201230625</c:v>
                      </c:pt>
                      <c:pt idx="1">
                        <c:v>-3.5695744024612499</c:v>
                      </c:pt>
                      <c:pt idx="2">
                        <c:v>-5.3543616036918751</c:v>
                      </c:pt>
                      <c:pt idx="3">
                        <c:v>-7.1391488049224998</c:v>
                      </c:pt>
                      <c:pt idx="4">
                        <c:v>-8.9239360061531254</c:v>
                      </c:pt>
                      <c:pt idx="5">
                        <c:v>-10.70872320738375</c:v>
                      </c:pt>
                      <c:pt idx="6">
                        <c:v>-12.493510408614375</c:v>
                      </c:pt>
                      <c:pt idx="7">
                        <c:v>-14.278297609845</c:v>
                      </c:pt>
                      <c:pt idx="8">
                        <c:v>-16.063084811075626</c:v>
                      </c:pt>
                      <c:pt idx="9">
                        <c:v>-17.847872012306251</c:v>
                      </c:pt>
                      <c:pt idx="10">
                        <c:v>-19.632659213536876</c:v>
                      </c:pt>
                      <c:pt idx="11">
                        <c:v>-21.4174464147675</c:v>
                      </c:pt>
                      <c:pt idx="12">
                        <c:v>-23.202233615998125</c:v>
                      </c:pt>
                      <c:pt idx="13">
                        <c:v>-24.98702081722875</c:v>
                      </c:pt>
                      <c:pt idx="14">
                        <c:v>-26.771808018459375</c:v>
                      </c:pt>
                      <c:pt idx="15">
                        <c:v>-28.556595219689999</c:v>
                      </c:pt>
                      <c:pt idx="16">
                        <c:v>-30.341382420920624</c:v>
                      </c:pt>
                      <c:pt idx="17">
                        <c:v>-32.126169622151252</c:v>
                      </c:pt>
                      <c:pt idx="18">
                        <c:v>-33.910956823381873</c:v>
                      </c:pt>
                      <c:pt idx="19">
                        <c:v>-35.695744024612502</c:v>
                      </c:pt>
                      <c:pt idx="20">
                        <c:v>-37.480531225843123</c:v>
                      </c:pt>
                      <c:pt idx="21">
                        <c:v>-39.265318427073751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273-467B-94A2-1ACBCA744FD5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Sheet1!$A$14</c15:sqref>
                        </c15:formulaRef>
                      </c:ext>
                    </c:extLst>
                    <c:strCache>
                      <c:ptCount val="1"/>
                      <c:pt idx="0">
                        <c:v>DIST=5,TONE=10,LEVEL=10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Sheet1!$C$1:$X$1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3000</c:v>
                      </c:pt>
                      <c:pt idx="3">
                        <c:v>4000</c:v>
                      </c:pt>
                      <c:pt idx="4">
                        <c:v>5000</c:v>
                      </c:pt>
                      <c:pt idx="5">
                        <c:v>6000</c:v>
                      </c:pt>
                      <c:pt idx="6">
                        <c:v>7000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  <c:pt idx="10">
                        <c:v>11000</c:v>
                      </c:pt>
                      <c:pt idx="11">
                        <c:v>12000</c:v>
                      </c:pt>
                      <c:pt idx="12">
                        <c:v>13000</c:v>
                      </c:pt>
                      <c:pt idx="13">
                        <c:v>14000</c:v>
                      </c:pt>
                      <c:pt idx="14">
                        <c:v>15000</c:v>
                      </c:pt>
                      <c:pt idx="15">
                        <c:v>16000</c:v>
                      </c:pt>
                      <c:pt idx="16">
                        <c:v>17000</c:v>
                      </c:pt>
                      <c:pt idx="17">
                        <c:v>18000</c:v>
                      </c:pt>
                      <c:pt idx="18">
                        <c:v>19000</c:v>
                      </c:pt>
                      <c:pt idx="19">
                        <c:v>20000</c:v>
                      </c:pt>
                      <c:pt idx="20">
                        <c:v>21000</c:v>
                      </c:pt>
                      <c:pt idx="21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Sheet1!$C$14:$X$14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-1.8056659241347419</c:v>
                      </c:pt>
                      <c:pt idx="1">
                        <c:v>-3.6113318482694838</c:v>
                      </c:pt>
                      <c:pt idx="2">
                        <c:v>-5.4169977724042262</c:v>
                      </c:pt>
                      <c:pt idx="3">
                        <c:v>-7.2226636965389677</c:v>
                      </c:pt>
                      <c:pt idx="4">
                        <c:v>-9.0283296206737091</c:v>
                      </c:pt>
                      <c:pt idx="5">
                        <c:v>-10.833995544808452</c:v>
                      </c:pt>
                      <c:pt idx="6">
                        <c:v>-12.639661468943194</c:v>
                      </c:pt>
                      <c:pt idx="7">
                        <c:v>-14.445327393077935</c:v>
                      </c:pt>
                      <c:pt idx="8">
                        <c:v>-16.250993317212679</c:v>
                      </c:pt>
                      <c:pt idx="9">
                        <c:v>-18.056659241347418</c:v>
                      </c:pt>
                      <c:pt idx="10">
                        <c:v>-19.862325165482162</c:v>
                      </c:pt>
                      <c:pt idx="11">
                        <c:v>-21.667991089616905</c:v>
                      </c:pt>
                      <c:pt idx="12">
                        <c:v>-23.473657013751644</c:v>
                      </c:pt>
                      <c:pt idx="13">
                        <c:v>-25.279322937886388</c:v>
                      </c:pt>
                      <c:pt idx="14">
                        <c:v>-27.084988862021131</c:v>
                      </c:pt>
                      <c:pt idx="15">
                        <c:v>-28.890654786155871</c:v>
                      </c:pt>
                      <c:pt idx="16">
                        <c:v>-30.696320710290614</c:v>
                      </c:pt>
                      <c:pt idx="17">
                        <c:v>-32.501986634425357</c:v>
                      </c:pt>
                      <c:pt idx="18">
                        <c:v>-34.3076525585601</c:v>
                      </c:pt>
                      <c:pt idx="19">
                        <c:v>-36.113318482694837</c:v>
                      </c:pt>
                      <c:pt idx="20">
                        <c:v>-37.91898440682958</c:v>
                      </c:pt>
                      <c:pt idx="21">
                        <c:v>-39.724650330964323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273-467B-94A2-1ACBCA744FD5}"/>
                  </c:ext>
                </c:extLst>
              </c15:ser>
            </c15:filteredScatterSeries>
          </c:ext>
        </c:extLst>
      </c:scatterChart>
      <c:valAx>
        <c:axId val="1464746735"/>
        <c:scaling>
          <c:orientation val="minMax"/>
          <c:max val="22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Frequency(Hz)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4749135"/>
        <c:crosses val="autoZero"/>
        <c:crossBetween val="midCat"/>
      </c:valAx>
      <c:valAx>
        <c:axId val="1464749135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Amplitude(dB)</a:t>
                </a:r>
                <a:endParaRPr lang="ja-JP" altLang="en-US"/>
              </a:p>
            </c:rich>
          </c:tx>
          <c:layout>
            <c:manualLayout>
              <c:xMode val="edge"/>
              <c:yMode val="edge"/>
              <c:x val="2.416428252664644E-2"/>
              <c:y val="0.2715867303216861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47467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0</xdr:rowOff>
    </xdr:from>
    <xdr:to>
      <xdr:col>5</xdr:col>
      <xdr:colOff>165651</xdr:colOff>
      <xdr:row>42</xdr:row>
      <xdr:rowOff>74543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817BDB7A-9323-48AF-A295-C65F89DAC3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21</xdr:row>
      <xdr:rowOff>0</xdr:rowOff>
    </xdr:from>
    <xdr:to>
      <xdr:col>14</xdr:col>
      <xdr:colOff>281608</xdr:colOff>
      <xdr:row>42</xdr:row>
      <xdr:rowOff>74543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AAA33D0A-1AA3-40EE-B890-FFC39994B6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21</xdr:row>
      <xdr:rowOff>6212</xdr:rowOff>
    </xdr:from>
    <xdr:to>
      <xdr:col>23</xdr:col>
      <xdr:colOff>281608</xdr:colOff>
      <xdr:row>42</xdr:row>
      <xdr:rowOff>78271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B8175A60-6F91-4FD0-98E5-40787878F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0"/>
  <sheetViews>
    <sheetView tabSelected="1" zoomScale="115" zoomScaleNormal="115" workbookViewId="0">
      <selection activeCell="D18" sqref="D18"/>
    </sheetView>
  </sheetViews>
  <sheetFormatPr defaultRowHeight="13.5" x14ac:dyDescent="0.15"/>
  <cols>
    <col min="1" max="1" width="31.625" bestFit="1" customWidth="1"/>
    <col min="2" max="2" width="15" bestFit="1" customWidth="1"/>
  </cols>
  <sheetData>
    <row r="1" spans="1:24" x14ac:dyDescent="0.15">
      <c r="A1" s="2"/>
      <c r="B1" s="1" t="s">
        <v>0</v>
      </c>
      <c r="C1">
        <v>1000</v>
      </c>
      <c r="D1">
        <f>C1+$C$1</f>
        <v>2000</v>
      </c>
      <c r="E1">
        <f>D1+$C$1</f>
        <v>3000</v>
      </c>
      <c r="F1">
        <f t="shared" ref="F1:X1" si="0">E1+$C$1</f>
        <v>4000</v>
      </c>
      <c r="G1">
        <f t="shared" si="0"/>
        <v>5000</v>
      </c>
      <c r="H1">
        <f t="shared" si="0"/>
        <v>6000</v>
      </c>
      <c r="I1">
        <f t="shared" si="0"/>
        <v>7000</v>
      </c>
      <c r="J1">
        <f t="shared" si="0"/>
        <v>8000</v>
      </c>
      <c r="K1">
        <f t="shared" si="0"/>
        <v>9000</v>
      </c>
      <c r="L1">
        <f t="shared" si="0"/>
        <v>10000</v>
      </c>
      <c r="M1">
        <f t="shared" si="0"/>
        <v>11000</v>
      </c>
      <c r="N1">
        <f t="shared" si="0"/>
        <v>12000</v>
      </c>
      <c r="O1">
        <f t="shared" si="0"/>
        <v>13000</v>
      </c>
      <c r="P1">
        <f t="shared" si="0"/>
        <v>14000</v>
      </c>
      <c r="Q1">
        <f t="shared" si="0"/>
        <v>15000</v>
      </c>
      <c r="R1">
        <f t="shared" si="0"/>
        <v>16000</v>
      </c>
      <c r="S1">
        <f t="shared" si="0"/>
        <v>17000</v>
      </c>
      <c r="T1">
        <f t="shared" si="0"/>
        <v>18000</v>
      </c>
      <c r="U1">
        <f t="shared" si="0"/>
        <v>19000</v>
      </c>
      <c r="V1">
        <f t="shared" si="0"/>
        <v>20000</v>
      </c>
      <c r="W1">
        <f t="shared" si="0"/>
        <v>21000</v>
      </c>
      <c r="X1">
        <f t="shared" si="0"/>
        <v>22000</v>
      </c>
    </row>
    <row r="2" spans="1:24" x14ac:dyDescent="0.15">
      <c r="A2" s="3" t="s">
        <v>1</v>
      </c>
      <c r="B2">
        <v>-5.7396039698753822E-2</v>
      </c>
      <c r="C2">
        <f>$B2*C$1</f>
        <v>-57.396039698753825</v>
      </c>
      <c r="D2">
        <f t="shared" ref="D2:X7" si="1">$B2*D$1</f>
        <v>-114.79207939750765</v>
      </c>
      <c r="E2">
        <f t="shared" si="1"/>
        <v>-172.18811909626146</v>
      </c>
      <c r="F2">
        <f t="shared" si="1"/>
        <v>-229.5841587950153</v>
      </c>
      <c r="G2">
        <f t="shared" si="1"/>
        <v>-286.98019849376908</v>
      </c>
      <c r="H2">
        <f t="shared" si="1"/>
        <v>-344.37623819252292</v>
      </c>
      <c r="I2">
        <f t="shared" si="1"/>
        <v>-401.77227789127676</v>
      </c>
      <c r="J2">
        <f t="shared" si="1"/>
        <v>-459.1683175900306</v>
      </c>
      <c r="K2">
        <f t="shared" si="1"/>
        <v>-516.56435728878444</v>
      </c>
      <c r="L2">
        <f t="shared" si="1"/>
        <v>-573.96039698753816</v>
      </c>
      <c r="M2">
        <f t="shared" si="1"/>
        <v>-631.356436686292</v>
      </c>
      <c r="N2">
        <f t="shared" si="1"/>
        <v>-688.75247638504584</v>
      </c>
      <c r="O2">
        <f t="shared" si="1"/>
        <v>-746.14851608379968</v>
      </c>
      <c r="P2">
        <f t="shared" si="1"/>
        <v>-803.54455578255352</v>
      </c>
      <c r="Q2">
        <f t="shared" si="1"/>
        <v>-860.94059548130735</v>
      </c>
      <c r="R2">
        <f t="shared" si="1"/>
        <v>-918.33663518006119</v>
      </c>
      <c r="S2">
        <f t="shared" si="1"/>
        <v>-975.73267487881492</v>
      </c>
      <c r="T2">
        <f t="shared" si="1"/>
        <v>-1033.1287145775689</v>
      </c>
      <c r="U2">
        <f t="shared" si="1"/>
        <v>-1090.5247542763227</v>
      </c>
      <c r="V2">
        <f t="shared" si="1"/>
        <v>-1147.9207939750763</v>
      </c>
      <c r="W2">
        <f t="shared" si="1"/>
        <v>-1205.3168336738302</v>
      </c>
      <c r="X2">
        <f t="shared" si="1"/>
        <v>-1262.712873372584</v>
      </c>
    </row>
    <row r="3" spans="1:24" x14ac:dyDescent="0.15">
      <c r="A3" s="3" t="s">
        <v>2</v>
      </c>
      <c r="B3">
        <v>-3.379728419973417E-3</v>
      </c>
      <c r="C3">
        <f t="shared" ref="C3:R20" si="2">$B3*C$1</f>
        <v>-3.379728419973417</v>
      </c>
      <c r="D3">
        <f t="shared" si="1"/>
        <v>-6.759456839946834</v>
      </c>
      <c r="E3">
        <f t="shared" si="1"/>
        <v>-10.13918525992025</v>
      </c>
      <c r="F3">
        <f t="shared" si="1"/>
        <v>-13.518913679893668</v>
      </c>
      <c r="G3">
        <f t="shared" si="1"/>
        <v>-16.898642099867086</v>
      </c>
      <c r="H3">
        <f t="shared" si="1"/>
        <v>-20.2783705198405</v>
      </c>
      <c r="I3">
        <f t="shared" si="1"/>
        <v>-23.658098939813918</v>
      </c>
      <c r="J3">
        <f t="shared" si="1"/>
        <v>-27.037827359787336</v>
      </c>
      <c r="K3">
        <f t="shared" si="1"/>
        <v>-30.417555779760754</v>
      </c>
      <c r="L3">
        <f t="shared" si="1"/>
        <v>-33.797284199734172</v>
      </c>
      <c r="M3">
        <f t="shared" si="1"/>
        <v>-37.17701261970759</v>
      </c>
      <c r="N3">
        <f t="shared" si="1"/>
        <v>-40.556741039681</v>
      </c>
      <c r="O3">
        <f t="shared" si="1"/>
        <v>-43.936469459654418</v>
      </c>
      <c r="P3">
        <f t="shared" si="1"/>
        <v>-47.316197879627836</v>
      </c>
      <c r="Q3">
        <f t="shared" si="1"/>
        <v>-50.695926299601254</v>
      </c>
      <c r="R3">
        <f t="shared" si="1"/>
        <v>-54.075654719574672</v>
      </c>
      <c r="S3">
        <f t="shared" si="1"/>
        <v>-57.45538313954809</v>
      </c>
      <c r="T3">
        <f t="shared" si="1"/>
        <v>-60.835111559521508</v>
      </c>
      <c r="U3">
        <f t="shared" si="1"/>
        <v>-64.214839979494926</v>
      </c>
      <c r="V3">
        <f t="shared" si="1"/>
        <v>-67.594568399468344</v>
      </c>
      <c r="W3">
        <f t="shared" si="1"/>
        <v>-70.974296819441761</v>
      </c>
      <c r="X3">
        <f t="shared" si="1"/>
        <v>-74.354025239415179</v>
      </c>
    </row>
    <row r="4" spans="1:24" x14ac:dyDescent="0.15">
      <c r="A4" s="3" t="s">
        <v>3</v>
      </c>
      <c r="B4">
        <v>-2.6266000238260368E-3</v>
      </c>
      <c r="C4">
        <f t="shared" si="2"/>
        <v>-2.626600023826037</v>
      </c>
      <c r="D4">
        <f t="shared" si="1"/>
        <v>-5.2532000476520739</v>
      </c>
      <c r="E4">
        <f t="shared" si="1"/>
        <v>-7.8798000714781109</v>
      </c>
      <c r="F4">
        <f t="shared" si="1"/>
        <v>-10.506400095304148</v>
      </c>
      <c r="G4">
        <f t="shared" si="1"/>
        <v>-13.133000119130184</v>
      </c>
      <c r="H4">
        <f t="shared" si="1"/>
        <v>-15.759600142956222</v>
      </c>
      <c r="I4">
        <f t="shared" si="1"/>
        <v>-18.386200166782256</v>
      </c>
      <c r="J4">
        <f t="shared" si="1"/>
        <v>-21.012800190608296</v>
      </c>
      <c r="K4">
        <f t="shared" si="1"/>
        <v>-23.639400214434332</v>
      </c>
      <c r="L4">
        <f t="shared" si="1"/>
        <v>-26.266000238260368</v>
      </c>
      <c r="M4">
        <f t="shared" si="1"/>
        <v>-28.892600262086404</v>
      </c>
      <c r="N4">
        <f t="shared" si="1"/>
        <v>-31.519200285912444</v>
      </c>
      <c r="O4">
        <f t="shared" si="1"/>
        <v>-34.145800309738476</v>
      </c>
      <c r="P4">
        <f t="shared" si="1"/>
        <v>-36.772400333564512</v>
      </c>
      <c r="Q4">
        <f t="shared" si="1"/>
        <v>-39.399000357390555</v>
      </c>
      <c r="R4">
        <f t="shared" si="1"/>
        <v>-42.025600381216591</v>
      </c>
      <c r="S4">
        <f t="shared" si="1"/>
        <v>-44.652200405042628</v>
      </c>
      <c r="T4">
        <f t="shared" si="1"/>
        <v>-47.278800428868664</v>
      </c>
      <c r="U4">
        <f t="shared" si="1"/>
        <v>-49.9054004526947</v>
      </c>
      <c r="V4">
        <f t="shared" si="1"/>
        <v>-52.532000476520736</v>
      </c>
      <c r="W4">
        <f t="shared" si="1"/>
        <v>-55.158600500346772</v>
      </c>
      <c r="X4">
        <f t="shared" si="1"/>
        <v>-57.785200524172808</v>
      </c>
    </row>
    <row r="5" spans="1:24" x14ac:dyDescent="0.15">
      <c r="A5" s="3" t="s">
        <v>4</v>
      </c>
      <c r="B5">
        <v>-2.1137377142843028E-3</v>
      </c>
      <c r="C5">
        <f t="shared" si="2"/>
        <v>-2.1137377142843028</v>
      </c>
      <c r="D5">
        <f t="shared" si="1"/>
        <v>-4.2274754285686056</v>
      </c>
      <c r="E5">
        <f t="shared" si="1"/>
        <v>-6.3412131428529079</v>
      </c>
      <c r="F5">
        <f t="shared" si="1"/>
        <v>-8.4549508571372112</v>
      </c>
      <c r="G5">
        <f t="shared" si="1"/>
        <v>-10.568688571421514</v>
      </c>
      <c r="H5">
        <f t="shared" si="1"/>
        <v>-12.682426285705816</v>
      </c>
      <c r="I5">
        <f t="shared" si="1"/>
        <v>-14.796163999990119</v>
      </c>
      <c r="J5">
        <f t="shared" si="1"/>
        <v>-16.909901714274422</v>
      </c>
      <c r="K5">
        <f t="shared" si="1"/>
        <v>-19.023639428558724</v>
      </c>
      <c r="L5">
        <f t="shared" si="1"/>
        <v>-21.137377142843029</v>
      </c>
      <c r="M5">
        <f t="shared" si="1"/>
        <v>-23.25111485712733</v>
      </c>
      <c r="N5">
        <f t="shared" si="1"/>
        <v>-25.364852571411632</v>
      </c>
      <c r="O5">
        <f t="shared" si="1"/>
        <v>-27.478590285695937</v>
      </c>
      <c r="P5">
        <f t="shared" si="1"/>
        <v>-29.592327999980238</v>
      </c>
      <c r="Q5">
        <f t="shared" si="1"/>
        <v>-31.706065714264543</v>
      </c>
      <c r="R5">
        <f t="shared" si="1"/>
        <v>-33.819803428548845</v>
      </c>
      <c r="S5">
        <f t="shared" si="1"/>
        <v>-35.93354114283315</v>
      </c>
      <c r="T5">
        <f t="shared" si="1"/>
        <v>-38.047278857117448</v>
      </c>
      <c r="U5">
        <f t="shared" si="1"/>
        <v>-40.161016571401753</v>
      </c>
      <c r="V5">
        <f t="shared" si="1"/>
        <v>-42.274754285686058</v>
      </c>
      <c r="W5">
        <f t="shared" si="1"/>
        <v>-44.388491999970356</v>
      </c>
      <c r="X5">
        <f t="shared" si="1"/>
        <v>-46.502229714254661</v>
      </c>
    </row>
    <row r="6" spans="1:24" x14ac:dyDescent="0.15">
      <c r="A6" s="3" t="s">
        <v>5</v>
      </c>
      <c r="B6">
        <v>-2.171444285777402E-3</v>
      </c>
      <c r="C6">
        <f t="shared" si="2"/>
        <v>-2.1714442857774019</v>
      </c>
      <c r="D6">
        <f t="shared" si="1"/>
        <v>-4.3428885715548038</v>
      </c>
      <c r="E6">
        <f t="shared" si="1"/>
        <v>-6.5143328573322057</v>
      </c>
      <c r="F6">
        <f t="shared" si="1"/>
        <v>-8.6857771431096076</v>
      </c>
      <c r="G6">
        <f t="shared" si="1"/>
        <v>-10.85722142888701</v>
      </c>
      <c r="H6">
        <f t="shared" si="1"/>
        <v>-13.028665714664411</v>
      </c>
      <c r="I6">
        <f t="shared" si="1"/>
        <v>-15.200110000441814</v>
      </c>
      <c r="J6">
        <f t="shared" si="1"/>
        <v>-17.371554286219215</v>
      </c>
      <c r="K6">
        <f t="shared" si="1"/>
        <v>-19.542998571996616</v>
      </c>
      <c r="L6">
        <f t="shared" si="1"/>
        <v>-21.714442857774021</v>
      </c>
      <c r="M6">
        <f t="shared" si="1"/>
        <v>-23.885887143551422</v>
      </c>
      <c r="N6">
        <f t="shared" si="1"/>
        <v>-26.057331429328823</v>
      </c>
      <c r="O6">
        <f t="shared" si="1"/>
        <v>-28.228775715106227</v>
      </c>
      <c r="P6">
        <f t="shared" si="1"/>
        <v>-30.400220000883628</v>
      </c>
      <c r="Q6">
        <f t="shared" si="1"/>
        <v>-32.571664286661033</v>
      </c>
      <c r="R6">
        <f t="shared" si="1"/>
        <v>-34.74310857243843</v>
      </c>
      <c r="S6">
        <f t="shared" si="1"/>
        <v>-36.914552858215835</v>
      </c>
      <c r="T6">
        <f t="shared" si="1"/>
        <v>-39.085997143993232</v>
      </c>
      <c r="U6">
        <f t="shared" si="1"/>
        <v>-41.257441429770637</v>
      </c>
      <c r="V6">
        <f t="shared" si="1"/>
        <v>-43.428885715548041</v>
      </c>
      <c r="W6">
        <f t="shared" si="1"/>
        <v>-45.600330001325439</v>
      </c>
      <c r="X6">
        <f t="shared" si="1"/>
        <v>-47.771774287102843</v>
      </c>
    </row>
    <row r="7" spans="1:24" x14ac:dyDescent="0.15">
      <c r="A7" s="3" t="s">
        <v>6</v>
      </c>
      <c r="B7">
        <v>-2.150218660293658E-3</v>
      </c>
      <c r="C7">
        <f t="shared" si="2"/>
        <v>-2.1502186602936582</v>
      </c>
      <c r="D7">
        <f t="shared" si="1"/>
        <v>-4.3004373205873163</v>
      </c>
      <c r="E7">
        <f t="shared" si="1"/>
        <v>-6.450655980880974</v>
      </c>
      <c r="F7">
        <f t="shared" si="1"/>
        <v>-8.6008746411746326</v>
      </c>
      <c r="G7">
        <f t="shared" si="1"/>
        <v>-10.751093301468289</v>
      </c>
      <c r="H7">
        <f t="shared" si="1"/>
        <v>-12.901311961761948</v>
      </c>
      <c r="I7">
        <f t="shared" si="1"/>
        <v>-15.051530622055607</v>
      </c>
      <c r="J7">
        <f t="shared" si="1"/>
        <v>-17.201749282349265</v>
      </c>
      <c r="K7">
        <f t="shared" si="1"/>
        <v>-19.351967942642922</v>
      </c>
      <c r="L7">
        <f t="shared" si="1"/>
        <v>-21.502186602936579</v>
      </c>
      <c r="M7">
        <f t="shared" si="1"/>
        <v>-23.652405263230239</v>
      </c>
      <c r="N7">
        <f t="shared" ref="N7:X20" si="3">$B7*N$1</f>
        <v>-25.802623923523896</v>
      </c>
      <c r="O7">
        <f t="shared" si="3"/>
        <v>-27.952842583817553</v>
      </c>
      <c r="P7">
        <f t="shared" si="3"/>
        <v>-30.103061244111213</v>
      </c>
      <c r="Q7">
        <f t="shared" si="3"/>
        <v>-32.25327990440487</v>
      </c>
      <c r="R7">
        <f t="shared" si="3"/>
        <v>-34.403498564698531</v>
      </c>
      <c r="S7">
        <f t="shared" si="3"/>
        <v>-36.553717224992184</v>
      </c>
      <c r="T7">
        <f t="shared" si="3"/>
        <v>-38.703935885285844</v>
      </c>
      <c r="U7">
        <f t="shared" si="3"/>
        <v>-40.854154545579505</v>
      </c>
      <c r="V7">
        <f t="shared" si="3"/>
        <v>-43.004373205873158</v>
      </c>
      <c r="W7">
        <f t="shared" si="3"/>
        <v>-45.154591866166818</v>
      </c>
      <c r="X7">
        <f t="shared" si="3"/>
        <v>-47.304810526460479</v>
      </c>
    </row>
    <row r="8" spans="1:24" x14ac:dyDescent="0.15">
      <c r="A8" s="3" t="s">
        <v>7</v>
      </c>
      <c r="B8">
        <v>-2.2209667676959988E-3</v>
      </c>
      <c r="C8">
        <f t="shared" si="2"/>
        <v>-2.220966767695999</v>
      </c>
      <c r="D8">
        <f t="shared" si="2"/>
        <v>-4.441933535391998</v>
      </c>
      <c r="E8">
        <f t="shared" si="2"/>
        <v>-6.6629003030879961</v>
      </c>
      <c r="F8">
        <f t="shared" si="2"/>
        <v>-8.883867070783996</v>
      </c>
      <c r="G8">
        <f t="shared" si="2"/>
        <v>-11.104833838479994</v>
      </c>
      <c r="H8">
        <f t="shared" si="2"/>
        <v>-13.325800606175992</v>
      </c>
      <c r="I8">
        <f t="shared" si="2"/>
        <v>-15.546767373871992</v>
      </c>
      <c r="J8">
        <f t="shared" si="2"/>
        <v>-17.767734141567992</v>
      </c>
      <c r="K8">
        <f t="shared" si="2"/>
        <v>-19.98870090926399</v>
      </c>
      <c r="L8">
        <f t="shared" si="2"/>
        <v>-22.209667676959988</v>
      </c>
      <c r="M8">
        <f t="shared" si="2"/>
        <v>-24.430634444655986</v>
      </c>
      <c r="N8">
        <f t="shared" si="2"/>
        <v>-26.651601212351984</v>
      </c>
      <c r="O8">
        <f t="shared" si="2"/>
        <v>-28.872567980047986</v>
      </c>
      <c r="P8">
        <f t="shared" si="2"/>
        <v>-31.093534747743984</v>
      </c>
      <c r="Q8">
        <f t="shared" si="2"/>
        <v>-33.314501515439979</v>
      </c>
      <c r="R8">
        <f t="shared" si="2"/>
        <v>-35.535468283135984</v>
      </c>
      <c r="S8">
        <f t="shared" si="3"/>
        <v>-37.756435050831982</v>
      </c>
      <c r="T8">
        <f t="shared" si="3"/>
        <v>-39.97740181852798</v>
      </c>
      <c r="U8">
        <f t="shared" si="3"/>
        <v>-42.198368586223978</v>
      </c>
      <c r="V8">
        <f t="shared" si="3"/>
        <v>-44.419335353919976</v>
      </c>
      <c r="W8">
        <f t="shared" si="3"/>
        <v>-46.640302121615974</v>
      </c>
      <c r="X8">
        <f t="shared" si="3"/>
        <v>-48.861268889311972</v>
      </c>
    </row>
    <row r="9" spans="1:24" x14ac:dyDescent="0.15">
      <c r="A9" s="3" t="s">
        <v>8</v>
      </c>
      <c r="B9">
        <v>-2.0921118857907669E-3</v>
      </c>
      <c r="C9">
        <f t="shared" si="2"/>
        <v>-2.092111885790767</v>
      </c>
      <c r="D9">
        <f t="shared" si="2"/>
        <v>-4.184223771581534</v>
      </c>
      <c r="E9">
        <f t="shared" si="2"/>
        <v>-6.276335657372301</v>
      </c>
      <c r="F9">
        <f t="shared" si="2"/>
        <v>-8.368447543163068</v>
      </c>
      <c r="G9">
        <f t="shared" si="2"/>
        <v>-10.460559428953834</v>
      </c>
      <c r="H9">
        <f t="shared" si="2"/>
        <v>-12.552671314744602</v>
      </c>
      <c r="I9">
        <f t="shared" si="2"/>
        <v>-14.644783200535368</v>
      </c>
      <c r="J9">
        <f t="shared" si="2"/>
        <v>-16.736895086326136</v>
      </c>
      <c r="K9">
        <f t="shared" si="2"/>
        <v>-18.829006972116904</v>
      </c>
      <c r="L9">
        <f t="shared" si="2"/>
        <v>-20.921118857907668</v>
      </c>
      <c r="M9">
        <f t="shared" si="2"/>
        <v>-23.013230743698436</v>
      </c>
      <c r="N9">
        <f t="shared" si="2"/>
        <v>-25.105342629489204</v>
      </c>
      <c r="O9">
        <f t="shared" si="2"/>
        <v>-27.197454515279968</v>
      </c>
      <c r="P9">
        <f t="shared" si="2"/>
        <v>-29.289566401070736</v>
      </c>
      <c r="Q9">
        <f t="shared" si="2"/>
        <v>-31.381678286861504</v>
      </c>
      <c r="R9">
        <f t="shared" si="2"/>
        <v>-33.473790172652272</v>
      </c>
      <c r="S9">
        <f t="shared" si="3"/>
        <v>-35.565902058443037</v>
      </c>
      <c r="T9">
        <f t="shared" si="3"/>
        <v>-37.658013944233808</v>
      </c>
      <c r="U9">
        <f t="shared" si="3"/>
        <v>-39.750125830024572</v>
      </c>
      <c r="V9">
        <f t="shared" si="3"/>
        <v>-41.842237715815337</v>
      </c>
      <c r="W9">
        <f t="shared" si="3"/>
        <v>-43.934349601606108</v>
      </c>
      <c r="X9">
        <f t="shared" si="3"/>
        <v>-46.026461487396872</v>
      </c>
    </row>
    <row r="10" spans="1:24" x14ac:dyDescent="0.15">
      <c r="A10" s="3" t="s">
        <v>9</v>
      </c>
      <c r="B10">
        <v>-2.0740020692876049E-3</v>
      </c>
      <c r="C10">
        <f t="shared" si="2"/>
        <v>-2.0740020692876047</v>
      </c>
      <c r="D10">
        <f t="shared" si="2"/>
        <v>-4.1480041385752093</v>
      </c>
      <c r="E10">
        <f t="shared" si="2"/>
        <v>-6.2220062078628144</v>
      </c>
      <c r="F10">
        <f t="shared" si="2"/>
        <v>-8.2960082771504187</v>
      </c>
      <c r="G10">
        <f t="shared" si="2"/>
        <v>-10.370010346438024</v>
      </c>
      <c r="H10">
        <f t="shared" si="2"/>
        <v>-12.444012415725629</v>
      </c>
      <c r="I10">
        <f t="shared" si="2"/>
        <v>-14.518014485013234</v>
      </c>
      <c r="J10">
        <f t="shared" si="2"/>
        <v>-16.592016554300837</v>
      </c>
      <c r="K10">
        <f t="shared" si="2"/>
        <v>-18.666018623588442</v>
      </c>
      <c r="L10">
        <f t="shared" si="2"/>
        <v>-20.740020692876048</v>
      </c>
      <c r="M10">
        <f t="shared" si="2"/>
        <v>-22.814022762163653</v>
      </c>
      <c r="N10">
        <f t="shared" si="2"/>
        <v>-24.888024831451258</v>
      </c>
      <c r="O10">
        <f t="shared" si="2"/>
        <v>-26.962026900738863</v>
      </c>
      <c r="P10">
        <f t="shared" si="2"/>
        <v>-29.036028970026468</v>
      </c>
      <c r="Q10">
        <f t="shared" si="2"/>
        <v>-31.110031039314073</v>
      </c>
      <c r="R10">
        <f t="shared" si="2"/>
        <v>-33.184033108601675</v>
      </c>
      <c r="S10">
        <f t="shared" si="3"/>
        <v>-35.258035177889283</v>
      </c>
      <c r="T10">
        <f t="shared" si="3"/>
        <v>-37.332037247176885</v>
      </c>
      <c r="U10">
        <f t="shared" si="3"/>
        <v>-39.406039316464494</v>
      </c>
      <c r="V10">
        <f t="shared" si="3"/>
        <v>-41.480041385752095</v>
      </c>
      <c r="W10">
        <f t="shared" si="3"/>
        <v>-43.554043455039704</v>
      </c>
      <c r="X10">
        <f t="shared" si="3"/>
        <v>-45.628045524327305</v>
      </c>
    </row>
    <row r="11" spans="1:24" x14ac:dyDescent="0.15">
      <c r="A11" s="3" t="s">
        <v>10</v>
      </c>
      <c r="B11">
        <v>-1.76614051086732E-3</v>
      </c>
      <c r="C11">
        <f t="shared" si="2"/>
        <v>-1.76614051086732</v>
      </c>
      <c r="D11">
        <f t="shared" si="2"/>
        <v>-3.5322810217346401</v>
      </c>
      <c r="E11">
        <f t="shared" si="2"/>
        <v>-5.2984215326019601</v>
      </c>
      <c r="F11">
        <f t="shared" si="2"/>
        <v>-7.0645620434692802</v>
      </c>
      <c r="G11">
        <f t="shared" si="2"/>
        <v>-8.8307025543366002</v>
      </c>
      <c r="H11">
        <f t="shared" si="2"/>
        <v>-10.59684306520392</v>
      </c>
      <c r="I11">
        <f t="shared" si="2"/>
        <v>-12.36298357607124</v>
      </c>
      <c r="J11">
        <f t="shared" si="2"/>
        <v>-14.12912408693856</v>
      </c>
      <c r="K11">
        <f t="shared" si="2"/>
        <v>-15.89526459780588</v>
      </c>
      <c r="L11">
        <f t="shared" si="2"/>
        <v>-17.6614051086732</v>
      </c>
      <c r="M11">
        <f t="shared" si="2"/>
        <v>-19.427545619540521</v>
      </c>
      <c r="N11">
        <f t="shared" si="2"/>
        <v>-21.193686130407841</v>
      </c>
      <c r="O11">
        <f t="shared" si="2"/>
        <v>-22.959826641275161</v>
      </c>
      <c r="P11">
        <f t="shared" si="2"/>
        <v>-24.725967152142481</v>
      </c>
      <c r="Q11">
        <f t="shared" si="2"/>
        <v>-26.492107663009801</v>
      </c>
      <c r="R11">
        <f t="shared" si="2"/>
        <v>-28.258248173877121</v>
      </c>
      <c r="S11">
        <f t="shared" si="3"/>
        <v>-30.024388684744441</v>
      </c>
      <c r="T11">
        <f t="shared" si="3"/>
        <v>-31.790529195611761</v>
      </c>
      <c r="U11">
        <f t="shared" si="3"/>
        <v>-33.556669706479084</v>
      </c>
      <c r="V11">
        <f t="shared" si="3"/>
        <v>-35.322810217346401</v>
      </c>
      <c r="W11">
        <f t="shared" si="3"/>
        <v>-37.088950728213717</v>
      </c>
      <c r="X11">
        <f t="shared" si="3"/>
        <v>-38.855091239081041</v>
      </c>
    </row>
    <row r="12" spans="1:24" x14ac:dyDescent="0.15">
      <c r="A12" s="3" t="s">
        <v>11</v>
      </c>
      <c r="B12">
        <v>-1.784787201230625E-3</v>
      </c>
      <c r="C12">
        <f t="shared" si="2"/>
        <v>-1.784787201230625</v>
      </c>
      <c r="D12">
        <f t="shared" si="2"/>
        <v>-3.5695744024612499</v>
      </c>
      <c r="E12">
        <f t="shared" si="2"/>
        <v>-5.3543616036918751</v>
      </c>
      <c r="F12">
        <f t="shared" si="2"/>
        <v>-7.1391488049224998</v>
      </c>
      <c r="G12">
        <f t="shared" si="2"/>
        <v>-8.9239360061531254</v>
      </c>
      <c r="H12">
        <f t="shared" si="2"/>
        <v>-10.70872320738375</v>
      </c>
      <c r="I12">
        <f t="shared" si="2"/>
        <v>-12.493510408614375</v>
      </c>
      <c r="J12">
        <f t="shared" si="2"/>
        <v>-14.278297609845</v>
      </c>
      <c r="K12">
        <f t="shared" si="2"/>
        <v>-16.063084811075626</v>
      </c>
      <c r="L12">
        <f t="shared" si="2"/>
        <v>-17.847872012306251</v>
      </c>
      <c r="M12">
        <f t="shared" si="2"/>
        <v>-19.632659213536876</v>
      </c>
      <c r="N12">
        <f t="shared" si="2"/>
        <v>-21.4174464147675</v>
      </c>
      <c r="O12">
        <f t="shared" si="2"/>
        <v>-23.202233615998125</v>
      </c>
      <c r="P12">
        <f t="shared" si="2"/>
        <v>-24.98702081722875</v>
      </c>
      <c r="Q12">
        <f t="shared" si="2"/>
        <v>-26.771808018459375</v>
      </c>
      <c r="R12">
        <f t="shared" si="2"/>
        <v>-28.556595219689999</v>
      </c>
      <c r="S12">
        <f t="shared" si="3"/>
        <v>-30.341382420920624</v>
      </c>
      <c r="T12">
        <f t="shared" si="3"/>
        <v>-32.126169622151252</v>
      </c>
      <c r="U12">
        <f t="shared" si="3"/>
        <v>-33.910956823381873</v>
      </c>
      <c r="V12">
        <f t="shared" si="3"/>
        <v>-35.695744024612502</v>
      </c>
      <c r="W12">
        <f t="shared" si="3"/>
        <v>-37.480531225843123</v>
      </c>
      <c r="X12">
        <f t="shared" si="3"/>
        <v>-39.265318427073751</v>
      </c>
    </row>
    <row r="13" spans="1:24" x14ac:dyDescent="0.15">
      <c r="A13" s="3" t="s">
        <v>12</v>
      </c>
      <c r="B13">
        <v>-1.794436451715703E-3</v>
      </c>
      <c r="C13">
        <f t="shared" si="2"/>
        <v>-1.794436451715703</v>
      </c>
      <c r="D13">
        <f t="shared" si="2"/>
        <v>-3.588872903431406</v>
      </c>
      <c r="E13">
        <f t="shared" si="2"/>
        <v>-5.3833093551471087</v>
      </c>
      <c r="F13">
        <f t="shared" si="2"/>
        <v>-7.1777458068628119</v>
      </c>
      <c r="G13">
        <f t="shared" si="2"/>
        <v>-8.9721822585785151</v>
      </c>
      <c r="H13">
        <f t="shared" si="2"/>
        <v>-10.766618710294217</v>
      </c>
      <c r="I13">
        <f t="shared" si="2"/>
        <v>-12.561055162009922</v>
      </c>
      <c r="J13">
        <f t="shared" si="2"/>
        <v>-14.355491613725624</v>
      </c>
      <c r="K13">
        <f t="shared" si="2"/>
        <v>-16.149928065441326</v>
      </c>
      <c r="L13">
        <f t="shared" si="2"/>
        <v>-17.94436451715703</v>
      </c>
      <c r="M13">
        <f t="shared" si="2"/>
        <v>-19.738800968872734</v>
      </c>
      <c r="N13">
        <f t="shared" si="2"/>
        <v>-21.533237420588435</v>
      </c>
      <c r="O13">
        <f t="shared" si="2"/>
        <v>-23.327673872304139</v>
      </c>
      <c r="P13">
        <f t="shared" si="2"/>
        <v>-25.122110324019843</v>
      </c>
      <c r="Q13">
        <f t="shared" si="2"/>
        <v>-26.916546775735544</v>
      </c>
      <c r="R13">
        <f t="shared" si="2"/>
        <v>-28.710983227451248</v>
      </c>
      <c r="S13">
        <f t="shared" si="3"/>
        <v>-30.505419679166952</v>
      </c>
      <c r="T13">
        <f t="shared" si="3"/>
        <v>-32.299856130882652</v>
      </c>
      <c r="U13">
        <f t="shared" si="3"/>
        <v>-34.094292582598356</v>
      </c>
      <c r="V13">
        <f t="shared" si="3"/>
        <v>-35.888729034314061</v>
      </c>
      <c r="W13">
        <f t="shared" si="3"/>
        <v>-37.683165486029765</v>
      </c>
      <c r="X13">
        <f t="shared" si="3"/>
        <v>-39.477601937745469</v>
      </c>
    </row>
    <row r="14" spans="1:24" x14ac:dyDescent="0.15">
      <c r="A14" s="3" t="s">
        <v>13</v>
      </c>
      <c r="B14">
        <v>-1.805665924134742E-3</v>
      </c>
      <c r="C14">
        <f t="shared" si="2"/>
        <v>-1.8056659241347419</v>
      </c>
      <c r="D14">
        <f t="shared" si="2"/>
        <v>-3.6113318482694838</v>
      </c>
      <c r="E14">
        <f t="shared" si="2"/>
        <v>-5.4169977724042262</v>
      </c>
      <c r="F14">
        <f t="shared" si="2"/>
        <v>-7.2226636965389677</v>
      </c>
      <c r="G14">
        <f t="shared" si="2"/>
        <v>-9.0283296206737091</v>
      </c>
      <c r="H14">
        <f t="shared" si="2"/>
        <v>-10.833995544808452</v>
      </c>
      <c r="I14">
        <f t="shared" si="2"/>
        <v>-12.639661468943194</v>
      </c>
      <c r="J14">
        <f t="shared" si="2"/>
        <v>-14.445327393077935</v>
      </c>
      <c r="K14">
        <f t="shared" si="2"/>
        <v>-16.250993317212679</v>
      </c>
      <c r="L14">
        <f t="shared" si="2"/>
        <v>-18.056659241347418</v>
      </c>
      <c r="M14">
        <f t="shared" si="2"/>
        <v>-19.862325165482162</v>
      </c>
      <c r="N14">
        <f t="shared" si="2"/>
        <v>-21.667991089616905</v>
      </c>
      <c r="O14">
        <f t="shared" si="2"/>
        <v>-23.473657013751644</v>
      </c>
      <c r="P14">
        <f t="shared" si="2"/>
        <v>-25.279322937886388</v>
      </c>
      <c r="Q14">
        <f t="shared" si="2"/>
        <v>-27.084988862021131</v>
      </c>
      <c r="R14">
        <f t="shared" si="2"/>
        <v>-28.890654786155871</v>
      </c>
      <c r="S14">
        <f t="shared" si="3"/>
        <v>-30.696320710290614</v>
      </c>
      <c r="T14">
        <f t="shared" si="3"/>
        <v>-32.501986634425357</v>
      </c>
      <c r="U14">
        <f t="shared" si="3"/>
        <v>-34.3076525585601</v>
      </c>
      <c r="V14">
        <f t="shared" si="3"/>
        <v>-36.113318482694837</v>
      </c>
      <c r="W14">
        <f t="shared" si="3"/>
        <v>-37.91898440682958</v>
      </c>
      <c r="X14">
        <f t="shared" si="3"/>
        <v>-39.724650330964323</v>
      </c>
    </row>
    <row r="15" spans="1:24" x14ac:dyDescent="0.15">
      <c r="A15" s="3" t="s">
        <v>14</v>
      </c>
      <c r="B15">
        <v>-1.4592731992335731E-3</v>
      </c>
      <c r="C15">
        <f t="shared" si="2"/>
        <v>-1.459273199233573</v>
      </c>
      <c r="D15">
        <f t="shared" si="2"/>
        <v>-2.918546398467146</v>
      </c>
      <c r="E15">
        <f t="shared" si="2"/>
        <v>-4.3778195977007188</v>
      </c>
      <c r="F15">
        <f t="shared" si="2"/>
        <v>-5.8370927969342921</v>
      </c>
      <c r="G15">
        <f t="shared" si="2"/>
        <v>-7.2963659961678653</v>
      </c>
      <c r="H15">
        <f t="shared" si="2"/>
        <v>-8.7556391954014376</v>
      </c>
      <c r="I15">
        <f t="shared" si="2"/>
        <v>-10.214912394635011</v>
      </c>
      <c r="J15">
        <f t="shared" si="2"/>
        <v>-11.674185593868584</v>
      </c>
      <c r="K15">
        <f t="shared" si="2"/>
        <v>-13.133458793102157</v>
      </c>
      <c r="L15">
        <f t="shared" si="2"/>
        <v>-14.592731992335731</v>
      </c>
      <c r="M15">
        <f t="shared" si="2"/>
        <v>-16.052005191569304</v>
      </c>
      <c r="N15">
        <f t="shared" si="2"/>
        <v>-17.511278390802875</v>
      </c>
      <c r="O15">
        <f t="shared" si="2"/>
        <v>-18.97055159003645</v>
      </c>
      <c r="P15">
        <f t="shared" si="2"/>
        <v>-20.429824789270022</v>
      </c>
      <c r="Q15">
        <f t="shared" si="2"/>
        <v>-21.889097988503597</v>
      </c>
      <c r="R15">
        <f t="shared" si="2"/>
        <v>-23.348371187737168</v>
      </c>
      <c r="S15">
        <f t="shared" si="3"/>
        <v>-24.807644386970743</v>
      </c>
      <c r="T15">
        <f t="shared" si="3"/>
        <v>-26.266917586204315</v>
      </c>
      <c r="U15">
        <f t="shared" si="3"/>
        <v>-27.72619078543789</v>
      </c>
      <c r="V15">
        <f t="shared" si="3"/>
        <v>-29.185463984671461</v>
      </c>
      <c r="W15">
        <f t="shared" si="3"/>
        <v>-30.644737183905036</v>
      </c>
      <c r="X15">
        <f t="shared" si="3"/>
        <v>-32.104010383138608</v>
      </c>
    </row>
    <row r="16" spans="1:24" x14ac:dyDescent="0.15">
      <c r="A16" s="3" t="s">
        <v>15</v>
      </c>
      <c r="B16">
        <v>-1.450530207537114E-3</v>
      </c>
      <c r="C16">
        <f t="shared" si="2"/>
        <v>-1.450530207537114</v>
      </c>
      <c r="D16">
        <f t="shared" si="2"/>
        <v>-2.9010604150742281</v>
      </c>
      <c r="E16">
        <f t="shared" si="2"/>
        <v>-4.3515906226113419</v>
      </c>
      <c r="F16">
        <f t="shared" si="2"/>
        <v>-5.8021208301484561</v>
      </c>
      <c r="G16">
        <f t="shared" si="2"/>
        <v>-7.2526510376855704</v>
      </c>
      <c r="H16">
        <f t="shared" si="2"/>
        <v>-8.7031812452226838</v>
      </c>
      <c r="I16">
        <f t="shared" si="2"/>
        <v>-10.153711452759799</v>
      </c>
      <c r="J16">
        <f t="shared" si="2"/>
        <v>-11.604241660296912</v>
      </c>
      <c r="K16">
        <f t="shared" si="2"/>
        <v>-13.054771867834026</v>
      </c>
      <c r="L16">
        <f t="shared" si="2"/>
        <v>-14.505302075371141</v>
      </c>
      <c r="M16">
        <f t="shared" si="2"/>
        <v>-15.955832282908254</v>
      </c>
      <c r="N16">
        <f t="shared" si="2"/>
        <v>-17.406362490445368</v>
      </c>
      <c r="O16">
        <f t="shared" si="2"/>
        <v>-18.856892697982481</v>
      </c>
      <c r="P16">
        <f t="shared" si="2"/>
        <v>-20.307422905519598</v>
      </c>
      <c r="Q16">
        <f t="shared" si="2"/>
        <v>-21.757953113056711</v>
      </c>
      <c r="R16">
        <f t="shared" si="2"/>
        <v>-23.208483320593825</v>
      </c>
      <c r="S16">
        <f t="shared" si="3"/>
        <v>-24.659013528130938</v>
      </c>
      <c r="T16">
        <f t="shared" si="3"/>
        <v>-26.109543735668051</v>
      </c>
      <c r="U16">
        <f t="shared" si="3"/>
        <v>-27.560073943205165</v>
      </c>
      <c r="V16">
        <f t="shared" si="3"/>
        <v>-29.010604150742282</v>
      </c>
      <c r="W16">
        <f t="shared" si="3"/>
        <v>-30.461134358279395</v>
      </c>
      <c r="X16">
        <f t="shared" si="3"/>
        <v>-31.911664565816508</v>
      </c>
    </row>
    <row r="17" spans="1:24" x14ac:dyDescent="0.15">
      <c r="A17" s="3" t="s">
        <v>16</v>
      </c>
      <c r="B17">
        <v>-1.124278584079373E-3</v>
      </c>
      <c r="C17">
        <f t="shared" si="2"/>
        <v>-1.124278584079373</v>
      </c>
      <c r="D17">
        <f t="shared" si="2"/>
        <v>-2.248557168158746</v>
      </c>
      <c r="E17">
        <f t="shared" si="2"/>
        <v>-3.3728357522381192</v>
      </c>
      <c r="F17">
        <f t="shared" si="2"/>
        <v>-4.4971143363174919</v>
      </c>
      <c r="G17">
        <f t="shared" si="2"/>
        <v>-5.6213929203968647</v>
      </c>
      <c r="H17">
        <f t="shared" si="2"/>
        <v>-6.7456715044762383</v>
      </c>
      <c r="I17">
        <f t="shared" si="2"/>
        <v>-7.8699500885556111</v>
      </c>
      <c r="J17">
        <f t="shared" si="2"/>
        <v>-8.9942286726349838</v>
      </c>
      <c r="K17">
        <f t="shared" si="2"/>
        <v>-10.118507256714357</v>
      </c>
      <c r="L17">
        <f t="shared" si="2"/>
        <v>-11.242785840793729</v>
      </c>
      <c r="M17">
        <f t="shared" si="2"/>
        <v>-12.367064424873103</v>
      </c>
      <c r="N17">
        <f t="shared" si="2"/>
        <v>-13.491343008952477</v>
      </c>
      <c r="O17">
        <f t="shared" si="2"/>
        <v>-14.615621593031848</v>
      </c>
      <c r="P17">
        <f t="shared" si="2"/>
        <v>-15.739900177111222</v>
      </c>
      <c r="Q17">
        <f t="shared" si="2"/>
        <v>-16.864178761190594</v>
      </c>
      <c r="R17">
        <f t="shared" si="2"/>
        <v>-17.988457345269968</v>
      </c>
      <c r="S17">
        <f t="shared" si="3"/>
        <v>-19.112735929349341</v>
      </c>
      <c r="T17">
        <f t="shared" si="3"/>
        <v>-20.237014513428715</v>
      </c>
      <c r="U17">
        <f t="shared" si="3"/>
        <v>-21.361293097508089</v>
      </c>
      <c r="V17">
        <f t="shared" si="3"/>
        <v>-22.485571681587459</v>
      </c>
      <c r="W17">
        <f t="shared" si="3"/>
        <v>-23.609850265666832</v>
      </c>
      <c r="X17">
        <f t="shared" si="3"/>
        <v>-24.734128849746206</v>
      </c>
    </row>
    <row r="18" spans="1:24" x14ac:dyDescent="0.15">
      <c r="A18" s="3" t="s">
        <v>17</v>
      </c>
      <c r="B18">
        <v>-1.108952164137973E-3</v>
      </c>
      <c r="C18">
        <f t="shared" si="2"/>
        <v>-1.1089521641379729</v>
      </c>
      <c r="D18">
        <f t="shared" si="2"/>
        <v>-2.2179043282759459</v>
      </c>
      <c r="E18">
        <f t="shared" si="2"/>
        <v>-3.3268564924139192</v>
      </c>
      <c r="F18">
        <f t="shared" si="2"/>
        <v>-4.4358086565518917</v>
      </c>
      <c r="G18">
        <f t="shared" si="2"/>
        <v>-5.5447608206898655</v>
      </c>
      <c r="H18">
        <f t="shared" si="2"/>
        <v>-6.6537129848278385</v>
      </c>
      <c r="I18">
        <f t="shared" si="2"/>
        <v>-7.7626651489658114</v>
      </c>
      <c r="J18">
        <f t="shared" si="2"/>
        <v>-8.8716173131037834</v>
      </c>
      <c r="K18">
        <f t="shared" si="2"/>
        <v>-9.9805694772417581</v>
      </c>
      <c r="L18">
        <f t="shared" si="2"/>
        <v>-11.089521641379731</v>
      </c>
      <c r="M18">
        <f t="shared" si="2"/>
        <v>-12.198473805517704</v>
      </c>
      <c r="N18">
        <f t="shared" si="2"/>
        <v>-13.307425969655677</v>
      </c>
      <c r="O18">
        <f t="shared" si="2"/>
        <v>-14.41637813379365</v>
      </c>
      <c r="P18">
        <f t="shared" si="2"/>
        <v>-15.525330297931623</v>
      </c>
      <c r="Q18">
        <f t="shared" si="2"/>
        <v>-16.634282462069596</v>
      </c>
      <c r="R18">
        <f t="shared" si="2"/>
        <v>-17.743234626207567</v>
      </c>
      <c r="S18">
        <f t="shared" si="3"/>
        <v>-18.852186790345542</v>
      </c>
      <c r="T18">
        <f t="shared" si="3"/>
        <v>-19.961138954483516</v>
      </c>
      <c r="U18">
        <f t="shared" si="3"/>
        <v>-21.070091118621487</v>
      </c>
      <c r="V18">
        <f t="shared" si="3"/>
        <v>-22.179043282759462</v>
      </c>
      <c r="W18">
        <f t="shared" si="3"/>
        <v>-23.287995446897433</v>
      </c>
      <c r="X18">
        <f t="shared" si="3"/>
        <v>-24.396947611035408</v>
      </c>
    </row>
    <row r="19" spans="1:24" x14ac:dyDescent="0.15">
      <c r="A19" s="3" t="s">
        <v>18</v>
      </c>
      <c r="B19">
        <v>-1.1274467858105001E-3</v>
      </c>
      <c r="C19">
        <f t="shared" si="2"/>
        <v>-1.1274467858105</v>
      </c>
      <c r="D19">
        <f t="shared" si="2"/>
        <v>-2.2548935716209999</v>
      </c>
      <c r="E19">
        <f t="shared" si="2"/>
        <v>-3.3823403574315001</v>
      </c>
      <c r="F19">
        <f t="shared" si="2"/>
        <v>-4.5097871432419998</v>
      </c>
      <c r="G19">
        <f t="shared" si="2"/>
        <v>-5.6372339290525</v>
      </c>
      <c r="H19">
        <f t="shared" si="2"/>
        <v>-6.7646807148630002</v>
      </c>
      <c r="I19">
        <f t="shared" si="2"/>
        <v>-7.8921275006735003</v>
      </c>
      <c r="J19">
        <f t="shared" si="2"/>
        <v>-9.0195742864839996</v>
      </c>
      <c r="K19">
        <f t="shared" si="2"/>
        <v>-10.1470210722945</v>
      </c>
      <c r="L19">
        <f t="shared" si="2"/>
        <v>-11.274467858105</v>
      </c>
      <c r="M19">
        <f t="shared" si="2"/>
        <v>-12.4019146439155</v>
      </c>
      <c r="N19">
        <f t="shared" si="2"/>
        <v>-13.529361429726</v>
      </c>
      <c r="O19">
        <f t="shared" si="2"/>
        <v>-14.6568082155365</v>
      </c>
      <c r="P19">
        <f t="shared" si="2"/>
        <v>-15.784255001347001</v>
      </c>
      <c r="Q19">
        <f t="shared" si="2"/>
        <v>-16.911701787157501</v>
      </c>
      <c r="R19">
        <f t="shared" si="2"/>
        <v>-18.039148572967999</v>
      </c>
      <c r="S19">
        <f t="shared" si="3"/>
        <v>-19.166595358778501</v>
      </c>
      <c r="T19">
        <f t="shared" si="3"/>
        <v>-20.294042144589</v>
      </c>
      <c r="U19">
        <f t="shared" si="3"/>
        <v>-21.421488930399502</v>
      </c>
      <c r="V19">
        <f t="shared" si="3"/>
        <v>-22.54893571621</v>
      </c>
      <c r="W19">
        <f t="shared" si="3"/>
        <v>-23.676382502020502</v>
      </c>
      <c r="X19">
        <f t="shared" si="3"/>
        <v>-24.803829287831</v>
      </c>
    </row>
    <row r="20" spans="1:24" x14ac:dyDescent="0.15">
      <c r="A20" s="3" t="s">
        <v>19</v>
      </c>
      <c r="B20">
        <v>-1.113758664104338E-3</v>
      </c>
      <c r="C20">
        <f t="shared" si="2"/>
        <v>-1.113758664104338</v>
      </c>
      <c r="D20">
        <f t="shared" si="2"/>
        <v>-2.227517328208676</v>
      </c>
      <c r="E20">
        <f t="shared" si="2"/>
        <v>-3.341275992313014</v>
      </c>
      <c r="F20">
        <f t="shared" si="2"/>
        <v>-4.455034656417352</v>
      </c>
      <c r="G20">
        <f t="shared" si="2"/>
        <v>-5.5687933205216904</v>
      </c>
      <c r="H20">
        <f t="shared" si="2"/>
        <v>-6.682551984626028</v>
      </c>
      <c r="I20">
        <f t="shared" si="2"/>
        <v>-7.7963106487303664</v>
      </c>
      <c r="J20">
        <f t="shared" si="2"/>
        <v>-8.9100693128347039</v>
      </c>
      <c r="K20">
        <f t="shared" si="2"/>
        <v>-10.023827976939042</v>
      </c>
      <c r="L20">
        <f t="shared" si="2"/>
        <v>-11.137586641043381</v>
      </c>
      <c r="M20">
        <f t="shared" si="2"/>
        <v>-12.251345305147717</v>
      </c>
      <c r="N20">
        <f t="shared" si="2"/>
        <v>-13.365103969252056</v>
      </c>
      <c r="O20">
        <f t="shared" si="2"/>
        <v>-14.478862633356394</v>
      </c>
      <c r="P20">
        <f t="shared" si="2"/>
        <v>-15.592621297460733</v>
      </c>
      <c r="Q20">
        <f t="shared" si="2"/>
        <v>-16.706379961565069</v>
      </c>
      <c r="R20">
        <f t="shared" si="2"/>
        <v>-17.820138625669408</v>
      </c>
      <c r="S20">
        <f t="shared" si="3"/>
        <v>-18.933897289773746</v>
      </c>
      <c r="T20">
        <f t="shared" si="3"/>
        <v>-20.047655953878085</v>
      </c>
      <c r="U20">
        <f t="shared" si="3"/>
        <v>-21.161414617982423</v>
      </c>
      <c r="V20">
        <f t="shared" si="3"/>
        <v>-22.275173282086762</v>
      </c>
      <c r="W20">
        <f t="shared" si="3"/>
        <v>-23.388931946191097</v>
      </c>
      <c r="X20">
        <f t="shared" si="3"/>
        <v>-24.502690610295435</v>
      </c>
    </row>
  </sheetData>
  <phoneticPr fontId="2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健太郎 定本</cp:lastModifiedBy>
  <dcterms:created xsi:type="dcterms:W3CDTF">2025-01-28T16:51:52Z</dcterms:created>
  <dcterms:modified xsi:type="dcterms:W3CDTF">2025-01-30T07:29:34Z</dcterms:modified>
</cp:coreProperties>
</file>