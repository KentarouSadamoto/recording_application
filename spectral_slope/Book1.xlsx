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DFF1E00F-E7E6-4577-82AB-FC235960D1C3}" xr6:coauthVersionLast="47" xr6:coauthVersionMax="47" xr10:uidLastSave="{00000000-0000-0000-0000-000000000000}"/>
  <bookViews>
    <workbookView xWindow="-108" yWindow="-108" windowWidth="23256" windowHeight="12456" xr2:uid="{5F7F1DD8-6BF7-41CB-B647-1C92C05CA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D2" i="1"/>
  <c r="E2" i="1"/>
  <c r="F2" i="1"/>
  <c r="G2" i="1"/>
  <c r="H2" i="1"/>
  <c r="I2" i="1"/>
  <c r="C2" i="1"/>
  <c r="C5" i="1"/>
  <c r="D1" i="1"/>
  <c r="E1" i="1" s="1"/>
  <c r="F1" i="1" l="1"/>
  <c r="G1" i="1" l="1"/>
  <c r="H1" i="1" l="1"/>
  <c r="I1" i="1" l="1"/>
</calcChain>
</file>

<file path=xl/sharedStrings.xml><?xml version="1.0" encoding="utf-8"?>
<sst xmlns="http://schemas.openxmlformats.org/spreadsheetml/2006/main" count="3" uniqueCount="3">
  <si>
    <t>TS9</t>
    <phoneticPr fontId="1"/>
  </si>
  <si>
    <t>DS-1W</t>
    <phoneticPr fontId="1"/>
  </si>
  <si>
    <t>スペクトルの傾き/Hz</t>
    <rPh sb="6" eb="7">
      <t>カタム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</si>
</sst>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TS9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Sheet1!$C$1:$I$1</c:f>
              <c:numCache>
                <c:formatCode>General</c:formatCode>
                <c:ptCount val="7"/>
                <c:pt idx="0">
                  <c:v>440</c:v>
                </c:pt>
                <c:pt idx="1">
                  <c:v>880</c:v>
                </c:pt>
                <c:pt idx="2">
                  <c:v>1760</c:v>
                </c:pt>
                <c:pt idx="3">
                  <c:v>3520</c:v>
                </c:pt>
                <c:pt idx="4">
                  <c:v>7040</c:v>
                </c:pt>
                <c:pt idx="5">
                  <c:v>14080</c:v>
                </c:pt>
                <c:pt idx="6">
                  <c:v>28160</c:v>
                </c:pt>
              </c:numCache>
            </c:numRef>
          </c:xVal>
          <c:yVal>
            <c:numRef>
              <c:f>Sheet1!$C$2:$I$2</c:f>
              <c:numCache>
                <c:formatCode>General</c:formatCode>
                <c:ptCount val="7"/>
                <c:pt idx="0">
                  <c:v>0</c:v>
                </c:pt>
                <c:pt idx="1">
                  <c:v>-8.0788184937968595</c:v>
                </c:pt>
                <c:pt idx="2">
                  <c:v>-16.157636987593719</c:v>
                </c:pt>
                <c:pt idx="3">
                  <c:v>-24.236455481390578</c:v>
                </c:pt>
                <c:pt idx="4">
                  <c:v>-32.315273975187438</c:v>
                </c:pt>
                <c:pt idx="5">
                  <c:v>-40.394092468984297</c:v>
                </c:pt>
                <c:pt idx="6">
                  <c:v>-48.472910962781157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24-45FD-AFD1-96C24224A88B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DS-1W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Sheet1!$C$1:$I$1</c:f>
              <c:numCache>
                <c:formatCode>General</c:formatCode>
                <c:ptCount val="7"/>
                <c:pt idx="0">
                  <c:v>440</c:v>
                </c:pt>
                <c:pt idx="1">
                  <c:v>880</c:v>
                </c:pt>
                <c:pt idx="2">
                  <c:v>1760</c:v>
                </c:pt>
                <c:pt idx="3">
                  <c:v>3520</c:v>
                </c:pt>
                <c:pt idx="4">
                  <c:v>7040</c:v>
                </c:pt>
                <c:pt idx="5">
                  <c:v>14080</c:v>
                </c:pt>
                <c:pt idx="6">
                  <c:v>28160</c:v>
                </c:pt>
              </c:numCache>
            </c:numRef>
          </c:xVal>
          <c:yVal>
            <c:numRef>
              <c:f>Sheet1!$C$3:$I$3</c:f>
              <c:numCache>
                <c:formatCode>General</c:formatCode>
                <c:ptCount val="7"/>
                <c:pt idx="0">
                  <c:v>0</c:v>
                </c:pt>
                <c:pt idx="1">
                  <c:v>-3.9602779455754344</c:v>
                </c:pt>
                <c:pt idx="2">
                  <c:v>-7.9205558911508618</c:v>
                </c:pt>
                <c:pt idx="3">
                  <c:v>-11.880833836726289</c:v>
                </c:pt>
                <c:pt idx="4">
                  <c:v>-15.841111782301724</c:v>
                </c:pt>
                <c:pt idx="5">
                  <c:v>-19.801389727877151</c:v>
                </c:pt>
                <c:pt idx="6">
                  <c:v>-23.761667673452578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24-45FD-AFD1-96C24224A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350464"/>
        <c:axId val="1646351424"/>
      </c:scatterChart>
      <c:valAx>
        <c:axId val="1646350464"/>
        <c:scaling>
          <c:logBase val="2"/>
          <c:orientation val="minMax"/>
          <c:max val="22050"/>
          <c:min val="4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aseline="0"/>
                  <a:t>Log- </a:t>
                </a: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6351424"/>
        <c:crosses val="autoZero"/>
        <c:crossBetween val="midCat"/>
        <c:majorUnit val="2"/>
      </c:valAx>
      <c:valAx>
        <c:axId val="1646351424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6350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316230</xdr:colOff>
      <xdr:row>8</xdr:row>
      <xdr:rowOff>45720</xdr:rowOff>
    </xdr:from>
    <xdr:to>
      <xdr:col>11</xdr:col>
      <xdr:colOff>194310</xdr:colOff>
      <xdr:row>20</xdr:row>
      <xdr:rowOff>45720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D43C723-6C62-5CE7-BA6D-88A7803F9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983B-6442-4BB6-A218-2F70EE77EE9C}">
  <dimension ref="A1:I6"/>
  <sheetViews>
    <sheetView tabSelected="1" workbookViewId="0">
      <selection activeCell="P6" sqref="P6"/>
    </sheetView>
  </sheetViews>
  <sheetFormatPr defaultRowHeight="18" x14ac:dyDescent="0.45"/>
  <cols>
    <col min="2" max="2" width="26" customWidth="1"/>
    <col min="3" max="3" width="10.3984375" bestFit="1" customWidth="1"/>
  </cols>
  <sheetData>
    <row r="1" spans="1:9" x14ac:dyDescent="0.45">
      <c r="B1" t="s">
        <v>2</v>
      </c>
      <c r="C1">
        <v>440</v>
      </c>
      <c r="D1">
        <f>C1*2</f>
        <v>880</v>
      </c>
      <c r="E1">
        <f t="shared" ref="E1:I1" si="0">D1*2</f>
        <v>1760</v>
      </c>
      <c r="F1">
        <f t="shared" si="0"/>
        <v>3520</v>
      </c>
      <c r="G1">
        <f t="shared" si="0"/>
        <v>7040</v>
      </c>
      <c r="H1">
        <f t="shared" si="0"/>
        <v>14080</v>
      </c>
      <c r="I1">
        <f t="shared" si="0"/>
        <v>28160</v>
      </c>
    </row>
    <row r="2" spans="1:9" x14ac:dyDescent="0.45">
      <c r="A2" t="s">
        <v>0</v>
      </c>
      <c r="B2">
        <v>-8.0788184937968595</v>
      </c>
      <c r="C2">
        <f>$B2*LOG(C$1,2)-$C5</f>
        <v>0</v>
      </c>
      <c r="D2">
        <f t="shared" ref="D2:I3" si="1">$B2*LOG(D$1,2)-$C5</f>
        <v>-8.0788184937968595</v>
      </c>
      <c r="E2">
        <f t="shared" si="1"/>
        <v>-16.157636987593719</v>
      </c>
      <c r="F2">
        <f t="shared" si="1"/>
        <v>-24.236455481390578</v>
      </c>
      <c r="G2">
        <f t="shared" si="1"/>
        <v>-32.315273975187438</v>
      </c>
      <c r="H2">
        <f t="shared" si="1"/>
        <v>-40.394092468984297</v>
      </c>
      <c r="I2">
        <f t="shared" si="1"/>
        <v>-48.472910962781157</v>
      </c>
    </row>
    <row r="3" spans="1:9" x14ac:dyDescent="0.45">
      <c r="A3" t="s">
        <v>1</v>
      </c>
      <c r="B3">
        <v>-3.96027794557543</v>
      </c>
      <c r="C3">
        <f>$B3*LOG(C$1,2)-$C6</f>
        <v>0</v>
      </c>
      <c r="D3">
        <f t="shared" si="1"/>
        <v>-3.9602779455754344</v>
      </c>
      <c r="E3">
        <f t="shared" si="1"/>
        <v>-7.9205558911508618</v>
      </c>
      <c r="F3">
        <f t="shared" si="1"/>
        <v>-11.880833836726289</v>
      </c>
      <c r="G3">
        <f t="shared" si="1"/>
        <v>-15.841111782301724</v>
      </c>
      <c r="H3">
        <f t="shared" si="1"/>
        <v>-19.801389727877151</v>
      </c>
      <c r="I3">
        <f t="shared" si="1"/>
        <v>-23.761667673452578</v>
      </c>
    </row>
    <row r="5" spans="1:9" x14ac:dyDescent="0.45">
      <c r="C5">
        <f>$B2*LOG(C$1,2)</f>
        <v>-70.943011254305716</v>
      </c>
    </row>
    <row r="6" spans="1:9" x14ac:dyDescent="0.45">
      <c r="C6">
        <v>-34.776625205636286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定本</dc:creator>
  <cp:lastModifiedBy>健太郎 定本</cp:lastModifiedBy>
  <dcterms:created xsi:type="dcterms:W3CDTF">2025-01-29T11:32:42Z</dcterms:created>
  <dcterms:modified xsi:type="dcterms:W3CDTF">2025-01-29T12:47:28Z</dcterms:modified>
</cp:coreProperties>
</file>