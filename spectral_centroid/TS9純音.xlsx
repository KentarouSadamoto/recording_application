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spectral_centroid\"/>
    </mc:Choice>
  </mc:AlternateContent>
  <xr:revisionPtr revIDLastSave="0" documentId="13_ncr:1_{7A6ABDE8-CEEC-4DC2-9DC6-4803D31C15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G5" i="1"/>
  <c r="F5" i="1"/>
  <c r="E5" i="1"/>
  <c r="G4" i="1"/>
  <c r="F4" i="1"/>
  <c r="E4" i="1"/>
  <c r="G3" i="1"/>
  <c r="F3" i="1"/>
  <c r="E3" i="1"/>
</calcChain>
</file>

<file path=xl/sharedStrings.xml><?xml version="1.0" encoding="utf-8"?>
<sst xmlns="http://schemas.openxmlformats.org/spreadsheetml/2006/main" count="28" uniqueCount="28">
  <si>
    <t>スペクトル重心</t>
  </si>
  <si>
    <t>BYPASS</t>
    <phoneticPr fontId="2"/>
  </si>
  <si>
    <t>DRIVE=0,TONE=0,LEVEL=5</t>
    <phoneticPr fontId="2"/>
  </si>
  <si>
    <t>DRIVE=0,TONE=0,LEVEL=10</t>
    <phoneticPr fontId="2"/>
  </si>
  <si>
    <t>DRIVE=0,TONE=5,LEVEL=5</t>
    <phoneticPr fontId="2"/>
  </si>
  <si>
    <t>DRIVE=0,TONE=5,LEVEL=10</t>
    <phoneticPr fontId="2"/>
  </si>
  <si>
    <t>DRIVE=0,TONE=10,LEVEL=5</t>
    <phoneticPr fontId="2"/>
  </si>
  <si>
    <t>DRIVE=0,TONE=10,LEVEL=10</t>
    <phoneticPr fontId="2"/>
  </si>
  <si>
    <t>DRIVE=5,TONE=0,LEVEL=5</t>
    <phoneticPr fontId="2"/>
  </si>
  <si>
    <t>DRIVE=5,TONE=0,LEVEL=10</t>
    <phoneticPr fontId="2"/>
  </si>
  <si>
    <t>DRIVE=5,TONE=5,LEVEL=5</t>
    <phoneticPr fontId="2"/>
  </si>
  <si>
    <t>DRIVE=5,TONE=5,LEVEL=10</t>
    <phoneticPr fontId="2"/>
  </si>
  <si>
    <t>DRIVE=5,TONE=10,LEVEL=5</t>
    <phoneticPr fontId="2"/>
  </si>
  <si>
    <t>DRIVE=5,TONE=10,LEVEL=10</t>
    <phoneticPr fontId="2"/>
  </si>
  <si>
    <t>DRIVE=10,TONE=0,LEVEL=5</t>
    <phoneticPr fontId="2"/>
  </si>
  <si>
    <t>DRIVE=10,TONE=0,LEVEL=10</t>
    <phoneticPr fontId="2"/>
  </si>
  <si>
    <t>DRIVE=10,TONE=5,LEVEL=5</t>
    <phoneticPr fontId="2"/>
  </si>
  <si>
    <t>DRIVE=10,TONE=5,LEVEL=10</t>
    <phoneticPr fontId="2"/>
  </si>
  <si>
    <t>DRIVE=10,TONE=10,LEVEL=5</t>
    <phoneticPr fontId="2"/>
  </si>
  <si>
    <t>DRIVE=10,TONE=10,LEVEL=10</t>
    <phoneticPr fontId="2"/>
  </si>
  <si>
    <t>LEVEL=10</t>
    <phoneticPr fontId="2"/>
  </si>
  <si>
    <t>DRIVE/TONE</t>
    <phoneticPr fontId="2"/>
  </si>
  <si>
    <t>TONE=0</t>
    <phoneticPr fontId="2"/>
  </si>
  <si>
    <t>TONE=5</t>
    <phoneticPr fontId="2"/>
  </si>
  <si>
    <t>TONE=10</t>
    <phoneticPr fontId="2"/>
  </si>
  <si>
    <t>DRIVE=0</t>
    <phoneticPr fontId="2"/>
  </si>
  <si>
    <t>DRIVE=5</t>
    <phoneticPr fontId="2"/>
  </si>
  <si>
    <t>DRIVE=10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</si>
</sst>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Sheet1!$A$2:$A$20</c:f>
              <c:strCache>
                <c:ptCount val="19"/>
                <c:pt idx="0">
                  <c:v>BYPASS</c:v>
                </c:pt>
                <c:pt idx="1">
                  <c:v>DRIVE=0,TONE=0,LEVEL=5</c:v>
                </c:pt>
                <c:pt idx="2">
                  <c:v>DRIVE=0,TONE=0,LEVEL=10</c:v>
                </c:pt>
                <c:pt idx="3">
                  <c:v>DRIVE=0,TONE=5,LEVEL=5</c:v>
                </c:pt>
                <c:pt idx="4">
                  <c:v>DRIVE=0,TONE=5,LEVEL=10</c:v>
                </c:pt>
                <c:pt idx="5">
                  <c:v>DRIVE=0,TONE=10,LEVEL=5</c:v>
                </c:pt>
                <c:pt idx="6">
                  <c:v>DRIVE=0,TONE=10,LEVEL=10</c:v>
                </c:pt>
                <c:pt idx="7">
                  <c:v>DRIVE=5,TONE=0,LEVEL=5</c:v>
                </c:pt>
                <c:pt idx="8">
                  <c:v>DRIVE=5,TONE=0,LEVEL=10</c:v>
                </c:pt>
                <c:pt idx="9">
                  <c:v>DRIVE=5,TONE=5,LEVEL=5</c:v>
                </c:pt>
                <c:pt idx="10">
                  <c:v>DRIVE=5,TONE=5,LEVEL=10</c:v>
                </c:pt>
                <c:pt idx="11">
                  <c:v>DRIVE=5,TONE=10,LEVEL=5</c:v>
                </c:pt>
                <c:pt idx="12">
                  <c:v>DRIVE=5,TONE=10,LEVEL=10</c:v>
                </c:pt>
                <c:pt idx="13">
                  <c:v>DRIVE=10,TONE=0,LEVEL=5</c:v>
                </c:pt>
                <c:pt idx="14">
                  <c:v>DRIVE=10,TONE=0,LEVEL=10</c:v>
                </c:pt>
                <c:pt idx="15">
                  <c:v>DRIVE=10,TONE=5,LEVEL=5</c:v>
                </c:pt>
                <c:pt idx="16">
                  <c:v>DRIVE=10,TONE=5,LEVEL=10</c:v>
                </c:pt>
                <c:pt idx="17">
                  <c:v>DRIVE=10,TONE=10,LEVEL=5</c:v>
                </c:pt>
                <c:pt idx="18">
                  <c:v>DRIVE=10,TONE=10,LEVEL=10</c:v>
                </c:pt>
              </c:strCache>
            </c:strRef>
          </c:cat>
          <c:val>
            <c:numRef>
              <c:f>Sheet1!$B$2:$B$20</c:f>
              <c:numCache>
                <c:formatCode>General</c:formatCode>
                <c:ptCount val="19"/>
                <c:pt idx="0">
                  <c:v>454</c:v>
                </c:pt>
                <c:pt idx="1">
                  <c:v>662</c:v>
                </c:pt>
                <c:pt idx="2">
                  <c:v>654</c:v>
                </c:pt>
                <c:pt idx="3">
                  <c:v>702</c:v>
                </c:pt>
                <c:pt idx="4">
                  <c:v>697</c:v>
                </c:pt>
                <c:pt idx="5">
                  <c:v>998</c:v>
                </c:pt>
                <c:pt idx="6">
                  <c:v>994</c:v>
                </c:pt>
                <c:pt idx="7">
                  <c:v>791</c:v>
                </c:pt>
                <c:pt idx="8">
                  <c:v>787</c:v>
                </c:pt>
                <c:pt idx="9">
                  <c:v>830</c:v>
                </c:pt>
                <c:pt idx="10">
                  <c:v>828</c:v>
                </c:pt>
                <c:pt idx="11">
                  <c:v>1349</c:v>
                </c:pt>
                <c:pt idx="12">
                  <c:v>1346</c:v>
                </c:pt>
                <c:pt idx="13">
                  <c:v>853</c:v>
                </c:pt>
                <c:pt idx="14">
                  <c:v>849</c:v>
                </c:pt>
                <c:pt idx="15">
                  <c:v>890</c:v>
                </c:pt>
                <c:pt idx="16">
                  <c:v>889</c:v>
                </c:pt>
                <c:pt idx="17">
                  <c:v>1512</c:v>
                </c:pt>
                <c:pt idx="18">
                  <c:v>1511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5A-4039-B289-37AB646FA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0520176"/>
        <c:axId val="1870520656"/>
      </c:barChart>
      <c:catAx>
        <c:axId val="187052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70520656"/>
        <c:crosses val="autoZero"/>
        <c:auto val="1"/>
        <c:lblAlgn val="ctr"/>
        <c:lblOffset val="100"/>
        <c:noMultiLvlLbl val="0"/>
      </c:catAx>
      <c:valAx>
        <c:axId val="1870520656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スペクトル重心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7052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DRIVE=0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Sheet1!$E$2:$G$2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Sheet1!$E$3:$G$3</c:f>
              <c:numCache>
                <c:formatCode>General</c:formatCode>
                <c:ptCount val="3"/>
                <c:pt idx="0">
                  <c:v>654</c:v>
                </c:pt>
                <c:pt idx="1">
                  <c:v>697</c:v>
                </c:pt>
                <c:pt idx="2">
                  <c:v>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42-44BA-A255-448AD7815E31}"/>
            </c:ext>
          </c:extLst>
        </c:ser>
        <c:ser>
          <c:idx val="1"/>
          <c:order val="1"/>
          <c:tx>
            <c:strRef>
              <c:f>Sheet1!$D$4</c:f>
              <c:strCache>
                <c:ptCount val="1"/>
                <c:pt idx="0">
                  <c:v>DRIVE=5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Sheet1!$E$2:$G$2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Sheet1!$E$4:$G$4</c:f>
              <c:numCache>
                <c:formatCode>General</c:formatCode>
                <c:ptCount val="3"/>
                <c:pt idx="0">
                  <c:v>787</c:v>
                </c:pt>
                <c:pt idx="1">
                  <c:v>828</c:v>
                </c:pt>
                <c:pt idx="2">
                  <c:v>1346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42-44BA-A255-448AD7815E31}"/>
            </c:ext>
          </c:extLst>
        </c:ser>
        <c:ser>
          <c:idx val="2"/>
          <c:order val="2"/>
          <c:tx>
            <c:strRef>
              <c:f>Sheet1!$D$5</c:f>
              <c:strCache>
                <c:ptCount val="1"/>
                <c:pt idx="0">
                  <c:v>DRIVE=10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Sheet1!$E$2:$G$2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Sheet1!$E$5:$G$5</c:f>
              <c:numCache>
                <c:formatCode>General</c:formatCode>
                <c:ptCount val="3"/>
                <c:pt idx="0">
                  <c:v>849</c:v>
                </c:pt>
                <c:pt idx="1">
                  <c:v>889</c:v>
                </c:pt>
                <c:pt idx="2">
                  <c:v>1511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42-44BA-A255-448AD7815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5617216"/>
        <c:axId val="1875617696"/>
      </c:lineChart>
      <c:catAx>
        <c:axId val="187561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75617696"/>
        <c:crosses val="autoZero"/>
        <c:auto val="1"/>
        <c:lblAlgn val="ctr"/>
        <c:lblOffset val="100"/>
        <c:noMultiLvlLbl val="0"/>
      </c:catAx>
      <c:valAx>
        <c:axId val="1875617696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スペクトル重心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7561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903514</xdr:colOff>
      <xdr:row>20</xdr:row>
      <xdr:rowOff>112265</xdr:rowOff>
    </xdr:from>
    <xdr:to>
      <xdr:col>8</xdr:col>
      <xdr:colOff>424599</xdr:colOff>
      <xdr:row>41</xdr:row>
      <xdr:rowOff>70758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EAF130E-37F9-470F-29EA-6DF7A1793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135948</xdr:colOff>
      <xdr:row>10</xdr:row>
      <xdr:rowOff>43584</xdr:rowOff>
    </xdr:from>
    <xdr:to>
      <xdr:col>17</xdr:col>
      <xdr:colOff>424392</xdr:colOff>
      <xdr:row>26</xdr:row>
      <xdr:rowOff>77451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1070BA4-C50A-CDE3-6040-898584259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Normal="100" workbookViewId="0">
      <selection activeCell="T32" sqref="T32"/>
    </sheetView>
  </sheetViews>
  <sheetFormatPr defaultRowHeight="13.5" x14ac:dyDescent="0.15"/>
  <cols>
    <col min="1" max="1" width="32.375" bestFit="1" customWidth="1"/>
    <col min="2" max="2" width="15.375" bestFit="1" customWidth="1"/>
    <col min="4" max="4" width="13.5" bestFit="1" customWidth="1"/>
    <col min="5" max="6" width="8.75" bestFit="1" customWidth="1"/>
    <col min="7" max="7" width="9.75" bestFit="1" customWidth="1"/>
  </cols>
  <sheetData>
    <row r="1" spans="1:7" x14ac:dyDescent="0.15">
      <c r="A1" s="2"/>
      <c r="B1" s="1" t="s">
        <v>0</v>
      </c>
      <c r="D1" t="s">
        <v>20</v>
      </c>
    </row>
    <row r="2" spans="1:7" x14ac:dyDescent="0.15">
      <c r="A2" s="3" t="s">
        <v>1</v>
      </c>
      <c r="B2">
        <v>454</v>
      </c>
      <c r="D2" t="s">
        <v>21</v>
      </c>
      <c r="E2" t="s">
        <v>22</v>
      </c>
      <c r="F2" t="s">
        <v>23</v>
      </c>
      <c r="G2" t="s">
        <v>24</v>
      </c>
    </row>
    <row r="3" spans="1:7" x14ac:dyDescent="0.15">
      <c r="A3" s="3" t="s">
        <v>2</v>
      </c>
      <c r="B3">
        <v>662</v>
      </c>
      <c r="D3" t="s">
        <v>25</v>
      </c>
      <c r="E3">
        <f>B4</f>
        <v>654</v>
      </c>
      <c r="F3">
        <f>B6</f>
        <v>697</v>
      </c>
      <c r="G3">
        <f>B8</f>
        <v>994</v>
      </c>
    </row>
    <row r="4" spans="1:7" x14ac:dyDescent="0.15">
      <c r="A4" s="3" t="s">
        <v>3</v>
      </c>
      <c r="B4">
        <v>654</v>
      </c>
      <c r="D4" t="s">
        <v>26</v>
      </c>
      <c r="E4">
        <f>B10</f>
        <v>787</v>
      </c>
      <c r="F4">
        <f>B12</f>
        <v>828</v>
      </c>
      <c r="G4">
        <f>B14</f>
        <v>1346</v>
      </c>
    </row>
    <row r="5" spans="1:7" x14ac:dyDescent="0.15">
      <c r="A5" s="3" t="s">
        <v>4</v>
      </c>
      <c r="B5">
        <v>702</v>
      </c>
      <c r="D5" t="s">
        <v>27</v>
      </c>
      <c r="E5">
        <f>B16</f>
        <v>849</v>
      </c>
      <c r="F5">
        <f>B18</f>
        <v>889</v>
      </c>
      <c r="G5">
        <f>B20</f>
        <v>1511</v>
      </c>
    </row>
    <row r="6" spans="1:7" x14ac:dyDescent="0.15">
      <c r="A6" s="3" t="s">
        <v>5</v>
      </c>
      <c r="B6">
        <v>697</v>
      </c>
    </row>
    <row r="7" spans="1:7" x14ac:dyDescent="0.15">
      <c r="A7" s="3" t="s">
        <v>6</v>
      </c>
      <c r="B7">
        <v>998</v>
      </c>
    </row>
    <row r="8" spans="1:7" x14ac:dyDescent="0.15">
      <c r="A8" s="3" t="s">
        <v>7</v>
      </c>
      <c r="B8">
        <v>994</v>
      </c>
    </row>
    <row r="9" spans="1:7" x14ac:dyDescent="0.15">
      <c r="A9" s="3" t="s">
        <v>8</v>
      </c>
      <c r="B9">
        <v>791</v>
      </c>
    </row>
    <row r="10" spans="1:7" x14ac:dyDescent="0.15">
      <c r="A10" s="3" t="s">
        <v>9</v>
      </c>
      <c r="B10">
        <v>787</v>
      </c>
    </row>
    <row r="11" spans="1:7" x14ac:dyDescent="0.15">
      <c r="A11" s="3" t="s">
        <v>10</v>
      </c>
      <c r="B11">
        <v>830</v>
      </c>
    </row>
    <row r="12" spans="1:7" x14ac:dyDescent="0.15">
      <c r="A12" s="3" t="s">
        <v>11</v>
      </c>
      <c r="B12">
        <v>828</v>
      </c>
    </row>
    <row r="13" spans="1:7" x14ac:dyDescent="0.15">
      <c r="A13" s="3" t="s">
        <v>12</v>
      </c>
      <c r="B13">
        <v>1349</v>
      </c>
    </row>
    <row r="14" spans="1:7" x14ac:dyDescent="0.15">
      <c r="A14" s="3" t="s">
        <v>13</v>
      </c>
      <c r="B14">
        <v>1346</v>
      </c>
    </row>
    <row r="15" spans="1:7" x14ac:dyDescent="0.15">
      <c r="A15" s="3" t="s">
        <v>14</v>
      </c>
      <c r="B15">
        <v>853</v>
      </c>
    </row>
    <row r="16" spans="1:7" x14ac:dyDescent="0.15">
      <c r="A16" s="3" t="s">
        <v>15</v>
      </c>
      <c r="B16">
        <v>849</v>
      </c>
    </row>
    <row r="17" spans="1:2" x14ac:dyDescent="0.15">
      <c r="A17" s="3" t="s">
        <v>16</v>
      </c>
      <c r="B17">
        <v>890</v>
      </c>
    </row>
    <row r="18" spans="1:2" x14ac:dyDescent="0.15">
      <c r="A18" s="3" t="s">
        <v>17</v>
      </c>
      <c r="B18">
        <v>889</v>
      </c>
    </row>
    <row r="19" spans="1:2" x14ac:dyDescent="0.15">
      <c r="A19" s="3" t="s">
        <v>18</v>
      </c>
      <c r="B19">
        <v>1512</v>
      </c>
    </row>
    <row r="20" spans="1:2" x14ac:dyDescent="0.15">
      <c r="A20" s="3" t="s">
        <v>19</v>
      </c>
      <c r="B20">
        <v>1511</v>
      </c>
    </row>
    <row r="21" spans="1:2" x14ac:dyDescent="0.15">
      <c r="B21">
        <f>AVERAGE(B2:B20)</f>
        <v>926.10526315789468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健太郎 定本</cp:lastModifiedBy>
  <dcterms:created xsi:type="dcterms:W3CDTF">2025-01-04T15:49:52Z</dcterms:created>
  <dcterms:modified xsi:type="dcterms:W3CDTF">2025-02-03T00:17:46Z</dcterms:modified>
</cp:coreProperties>
</file>