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EDA4542F-924C-4555-BB99-1028430999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8" i="1"/>
  <c r="C3" i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C14" i="1"/>
  <c r="D14" i="1"/>
  <c r="E14" i="1"/>
  <c r="F14" i="1"/>
  <c r="G14" i="1"/>
  <c r="H14" i="1"/>
  <c r="I14" i="1"/>
  <c r="J14" i="1"/>
  <c r="K14" i="1"/>
  <c r="L14" i="1"/>
  <c r="C15" i="1"/>
  <c r="D15" i="1"/>
  <c r="E15" i="1"/>
  <c r="F15" i="1"/>
  <c r="G15" i="1"/>
  <c r="H15" i="1"/>
  <c r="I15" i="1"/>
  <c r="J15" i="1"/>
  <c r="K15" i="1"/>
  <c r="L15" i="1"/>
  <c r="C16" i="1"/>
  <c r="D16" i="1"/>
  <c r="E16" i="1"/>
  <c r="F16" i="1"/>
  <c r="G16" i="1"/>
  <c r="H16" i="1"/>
  <c r="I16" i="1"/>
  <c r="J16" i="1"/>
  <c r="K16" i="1"/>
  <c r="L16" i="1"/>
  <c r="C17" i="1"/>
  <c r="D17" i="1"/>
  <c r="E17" i="1"/>
  <c r="F17" i="1"/>
  <c r="G17" i="1"/>
  <c r="H17" i="1"/>
  <c r="I17" i="1"/>
  <c r="J17" i="1"/>
  <c r="K17" i="1"/>
  <c r="L17" i="1"/>
  <c r="C18" i="1"/>
  <c r="D18" i="1"/>
  <c r="E18" i="1"/>
  <c r="F18" i="1"/>
  <c r="G18" i="1"/>
  <c r="H18" i="1"/>
  <c r="I18" i="1"/>
  <c r="J18" i="1"/>
  <c r="K18" i="1"/>
  <c r="L18" i="1"/>
  <c r="C19" i="1"/>
  <c r="D19" i="1"/>
  <c r="E19" i="1"/>
  <c r="F19" i="1"/>
  <c r="G19" i="1"/>
  <c r="H19" i="1"/>
  <c r="I19" i="1"/>
  <c r="J19" i="1"/>
  <c r="K19" i="1"/>
  <c r="L19" i="1"/>
  <c r="D20" i="1"/>
  <c r="E20" i="1"/>
  <c r="F20" i="1"/>
  <c r="G20" i="1"/>
  <c r="H20" i="1"/>
  <c r="I20" i="1"/>
  <c r="J20" i="1"/>
  <c r="K20" i="1"/>
  <c r="L20" i="1"/>
  <c r="D2" i="1"/>
  <c r="E2" i="1"/>
  <c r="F2" i="1"/>
  <c r="G2" i="1"/>
  <c r="H2" i="1"/>
  <c r="I2" i="1"/>
  <c r="J2" i="1"/>
  <c r="K2" i="1"/>
  <c r="L2" i="1"/>
  <c r="C2" i="1"/>
  <c r="B21" i="1"/>
</calcChain>
</file>

<file path=xl/sharedStrings.xml><?xml version="1.0" encoding="utf-8"?>
<sst xmlns="http://schemas.openxmlformats.org/spreadsheetml/2006/main" count="20" uniqueCount="20">
  <si>
    <t>スペクトル傾斜</t>
  </si>
  <si>
    <t>Bypass</t>
    <phoneticPr fontId="2"/>
  </si>
  <si>
    <t>DRIVE=0,TONE=0,LEVEL=5</t>
    <phoneticPr fontId="2"/>
  </si>
  <si>
    <t>DRIVE=0,TONE=0,LEVEL=10</t>
    <phoneticPr fontId="2"/>
  </si>
  <si>
    <t>DRIVE=0,TONE=5,LEVEL=5</t>
    <phoneticPr fontId="2"/>
  </si>
  <si>
    <t>DRIVE=0,TONE=5,LEVEL=10</t>
    <phoneticPr fontId="2"/>
  </si>
  <si>
    <t>DRIVE=0,TONE=10,LEVEL=5</t>
    <phoneticPr fontId="2"/>
  </si>
  <si>
    <t>DRIVE=0,TONE=10,LEVEL=10</t>
    <phoneticPr fontId="2"/>
  </si>
  <si>
    <t>DRIVE=5,TONE=0,LEVEL=5</t>
    <phoneticPr fontId="2"/>
  </si>
  <si>
    <t>DRIVE=5,TONE=0,LEVEL=10</t>
    <phoneticPr fontId="2"/>
  </si>
  <si>
    <t>DRIVE=5,TONE=5,LEVEL=5</t>
    <phoneticPr fontId="2"/>
  </si>
  <si>
    <t>DRIVE=5,TONE=5,LEVEL=10</t>
    <phoneticPr fontId="2"/>
  </si>
  <si>
    <t>DRIVE=5,TONE=10,LEVEL=5</t>
    <phoneticPr fontId="2"/>
  </si>
  <si>
    <t>DRIVE=5,TONE=10,LEVEL=10</t>
    <phoneticPr fontId="2"/>
  </si>
  <si>
    <t>DRIVE=10,TONE=0,LEVEL=5</t>
    <phoneticPr fontId="2"/>
  </si>
  <si>
    <t>DRIVE=10,TONE=0,LEVEL=10</t>
    <phoneticPr fontId="2"/>
  </si>
  <si>
    <t>DRIVE=10,TONE=5,LEVEL=5</t>
    <phoneticPr fontId="2"/>
  </si>
  <si>
    <t>DRIVE=10,TONE=5,LEVEL=10</t>
    <phoneticPr fontId="2"/>
  </si>
  <si>
    <t>DRIVE=10,TONE=10,LEVEL=5</t>
    <phoneticPr fontId="2"/>
  </si>
  <si>
    <t>DRIVE=10,TONE=10,LEVEL=10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</si>
</sst>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81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DRIVE=0,TONE=0,LEVEL=10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Sheet1!$C$4:$L$4</c:f>
              <c:numCache>
                <c:formatCode>0.000</c:formatCode>
                <c:ptCount val="10"/>
                <c:pt idx="0">
                  <c:v>-0.30079545373868471</c:v>
                </c:pt>
                <c:pt idx="1">
                  <c:v>-0.60159090747736943</c:v>
                </c:pt>
                <c:pt idx="2">
                  <c:v>-0.90238636121605409</c:v>
                </c:pt>
                <c:pt idx="3">
                  <c:v>-1.2031818149547389</c:v>
                </c:pt>
                <c:pt idx="4">
                  <c:v>-1.5039772686934234</c:v>
                </c:pt>
                <c:pt idx="5">
                  <c:v>-1.8047727224321082</c:v>
                </c:pt>
                <c:pt idx="6">
                  <c:v>-2.1055681761707929</c:v>
                </c:pt>
                <c:pt idx="7">
                  <c:v>-2.4063636299094777</c:v>
                </c:pt>
                <c:pt idx="8">
                  <c:v>-2.707159083648162</c:v>
                </c:pt>
                <c:pt idx="9">
                  <c:v>-3.0079545373868468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DAE9-449B-A801-8A39E78E6EAE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DRIVE=0,TONE=5,LEVEL=10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Sheet1!$C$6:$L$6</c:f>
              <c:numCache>
                <c:formatCode>0.000</c:formatCode>
                <c:ptCount val="10"/>
                <c:pt idx="0">
                  <c:v>-0.31791025320120053</c:v>
                </c:pt>
                <c:pt idx="1">
                  <c:v>-0.63582050640240106</c:v>
                </c:pt>
                <c:pt idx="2">
                  <c:v>-0.95373075960360165</c:v>
                </c:pt>
                <c:pt idx="3">
                  <c:v>-1.2716410128048021</c:v>
                </c:pt>
                <c:pt idx="4">
                  <c:v>-1.5895512660060027</c:v>
                </c:pt>
                <c:pt idx="5">
                  <c:v>-1.9074615192072033</c:v>
                </c:pt>
                <c:pt idx="6">
                  <c:v>-2.2253717724084039</c:v>
                </c:pt>
                <c:pt idx="7">
                  <c:v>-2.5432820256096043</c:v>
                </c:pt>
                <c:pt idx="8">
                  <c:v>-2.8611922788108051</c:v>
                </c:pt>
                <c:pt idx="9">
                  <c:v>-3.1791025320120054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DAE9-449B-A801-8A39E78E6EAE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DRIVE=0,TONE=10,LEVEL=10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Sheet1!$C$8:$L$8</c:f>
              <c:numCache>
                <c:formatCode>0.000</c:formatCode>
                <c:ptCount val="10"/>
                <c:pt idx="0">
                  <c:v>-0.3464360706502907</c:v>
                </c:pt>
                <c:pt idx="1">
                  <c:v>-0.69287214130058139</c:v>
                </c:pt>
                <c:pt idx="2">
                  <c:v>-1.0393082119508721</c:v>
                </c:pt>
                <c:pt idx="3">
                  <c:v>-1.3857442826011628</c:v>
                </c:pt>
                <c:pt idx="4">
                  <c:v>-1.7321803532514535</c:v>
                </c:pt>
                <c:pt idx="5">
                  <c:v>-2.0786164239017442</c:v>
                </c:pt>
                <c:pt idx="6">
                  <c:v>-2.4250524945520349</c:v>
                </c:pt>
                <c:pt idx="7">
                  <c:v>-2.7714885652023256</c:v>
                </c:pt>
                <c:pt idx="8">
                  <c:v>-3.1179246358526163</c:v>
                </c:pt>
                <c:pt idx="9">
                  <c:v>-3.464360706502907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5-DAE9-449B-A801-8A39E78E6EAE}"/>
            </c:ext>
          </c:extLst>
        </c:ser>
        <c:ser>
          <c:idx val="3"/>
          <c:order val="3"/>
          <c:tx>
            <c:strRef>
              <c:f>Sheet1!$A$10</c:f>
              <c:strCache>
                <c:ptCount val="1"/>
                <c:pt idx="0">
                  <c:v>DRIVE=5,TONE=0,LEVEL=10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Sheet1!$C$10:$L$10</c:f>
              <c:numCache>
                <c:formatCode>0.000</c:formatCode>
                <c:ptCount val="10"/>
                <c:pt idx="0">
                  <c:v>-0.27557596535963086</c:v>
                </c:pt>
                <c:pt idx="1">
                  <c:v>-0.55115193071926172</c:v>
                </c:pt>
                <c:pt idx="2">
                  <c:v>-0.82672789607889263</c:v>
                </c:pt>
                <c:pt idx="3">
                  <c:v>-1.1023038614385234</c:v>
                </c:pt>
                <c:pt idx="4">
                  <c:v>-1.3778798267981545</c:v>
                </c:pt>
                <c:pt idx="5">
                  <c:v>-1.6534557921577853</c:v>
                </c:pt>
                <c:pt idx="6">
                  <c:v>-1.9290317575174161</c:v>
                </c:pt>
                <c:pt idx="7">
                  <c:v>-2.2046077228770469</c:v>
                </c:pt>
                <c:pt idx="8">
                  <c:v>-2.4801836882366777</c:v>
                </c:pt>
                <c:pt idx="9">
                  <c:v>-2.7557596535963089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DAE9-449B-A801-8A39E78E6EAE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DRIVE=5,TONE=5,LEVEL=10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Sheet1!$C$12:$L$12</c:f>
              <c:numCache>
                <c:formatCode>0.000</c:formatCode>
                <c:ptCount val="10"/>
                <c:pt idx="0">
                  <c:v>-0.28638860482781997</c:v>
                </c:pt>
                <c:pt idx="1">
                  <c:v>-0.57277720965563994</c:v>
                </c:pt>
                <c:pt idx="2">
                  <c:v>-0.85916581448345997</c:v>
                </c:pt>
                <c:pt idx="3">
                  <c:v>-1.1455544193112799</c:v>
                </c:pt>
                <c:pt idx="4">
                  <c:v>-1.4319430241390998</c:v>
                </c:pt>
                <c:pt idx="5">
                  <c:v>-1.7183316289669199</c:v>
                </c:pt>
                <c:pt idx="6">
                  <c:v>-2.0047202337947398</c:v>
                </c:pt>
                <c:pt idx="7">
                  <c:v>-2.2911088386225598</c:v>
                </c:pt>
                <c:pt idx="8">
                  <c:v>-2.5774974434503801</c:v>
                </c:pt>
                <c:pt idx="9">
                  <c:v>-2.8638860482781996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7-DAE9-449B-A801-8A39E78E6EAE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DRIVE=5,TONE=10,LEVEL=10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Sheet1!$C$14:$L$14</c:f>
              <c:numCache>
                <c:formatCode>0.000</c:formatCode>
                <c:ptCount val="10"/>
                <c:pt idx="0">
                  <c:v>-0.26977186023236338</c:v>
                </c:pt>
                <c:pt idx="1">
                  <c:v>-0.53954372046472676</c:v>
                </c:pt>
                <c:pt idx="2">
                  <c:v>-0.8093155806970902</c:v>
                </c:pt>
                <c:pt idx="3">
                  <c:v>-1.0790874409294535</c:v>
                </c:pt>
                <c:pt idx="4">
                  <c:v>-1.3488593011618171</c:v>
                </c:pt>
                <c:pt idx="5">
                  <c:v>-1.6186311613941804</c:v>
                </c:pt>
                <c:pt idx="6">
                  <c:v>-1.8884030216265439</c:v>
                </c:pt>
                <c:pt idx="7">
                  <c:v>-2.158174881858907</c:v>
                </c:pt>
                <c:pt idx="8">
                  <c:v>-2.4279467420912706</c:v>
                </c:pt>
                <c:pt idx="9">
                  <c:v>-2.6977186023236341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8-DAE9-449B-A801-8A39E78E6EAE}"/>
            </c:ext>
          </c:extLst>
        </c:ser>
        <c:ser>
          <c:idx val="6"/>
          <c:order val="6"/>
          <c:tx>
            <c:strRef>
              <c:f>Sheet1!$A$16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Sheet1!$C$16:$L$16</c:f>
              <c:numCache>
                <c:formatCode>0.000</c:formatCode>
                <c:ptCount val="10"/>
                <c:pt idx="0">
                  <c:v>-0.21765240289434606</c:v>
                </c:pt>
                <c:pt idx="1">
                  <c:v>-0.43530480578869213</c:v>
                </c:pt>
                <c:pt idx="2">
                  <c:v>-0.65295720868303819</c:v>
                </c:pt>
                <c:pt idx="3">
                  <c:v>-0.87060961157738426</c:v>
                </c:pt>
                <c:pt idx="4">
                  <c:v>-1.0882620144717303</c:v>
                </c:pt>
                <c:pt idx="5">
                  <c:v>-1.3059144173660764</c:v>
                </c:pt>
                <c:pt idx="6">
                  <c:v>-1.5235668202604224</c:v>
                </c:pt>
                <c:pt idx="7">
                  <c:v>-1.7412192231547685</c:v>
                </c:pt>
                <c:pt idx="8">
                  <c:v>-1.9588716260491148</c:v>
                </c:pt>
                <c:pt idx="9">
                  <c:v>-2.1765240289434606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9-449B-A801-8A39E78E6EAE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Sheet1!$C$18:$L$18</c:f>
              <c:numCache>
                <c:formatCode>0.000</c:formatCode>
                <c:ptCount val="10"/>
                <c:pt idx="0">
                  <c:v>-0.23164928199357601</c:v>
                </c:pt>
                <c:pt idx="1">
                  <c:v>-0.46329856398715202</c:v>
                </c:pt>
                <c:pt idx="2">
                  <c:v>-0.69494784598072801</c:v>
                </c:pt>
                <c:pt idx="3">
                  <c:v>-0.92659712797430405</c:v>
                </c:pt>
                <c:pt idx="4">
                  <c:v>-1.1582464099678802</c:v>
                </c:pt>
                <c:pt idx="5">
                  <c:v>-1.389895691961456</c:v>
                </c:pt>
                <c:pt idx="6">
                  <c:v>-1.6215449739550321</c:v>
                </c:pt>
                <c:pt idx="7">
                  <c:v>-1.8531942559486081</c:v>
                </c:pt>
                <c:pt idx="8">
                  <c:v>-2.0848435379421844</c:v>
                </c:pt>
                <c:pt idx="9">
                  <c:v>-2.3164928199357604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9-449B-A801-8A39E78E6EAE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-0.2098734474715894</c:v>
                </c:pt>
                <c:pt idx="1">
                  <c:v>-0.41974689494317879</c:v>
                </c:pt>
                <c:pt idx="2">
                  <c:v>-0.62962034241476816</c:v>
                </c:pt>
                <c:pt idx="3">
                  <c:v>-0.83949378988635759</c:v>
                </c:pt>
                <c:pt idx="4">
                  <c:v>-1.0493672373579468</c:v>
                </c:pt>
                <c:pt idx="5">
                  <c:v>-1.2592406848295363</c:v>
                </c:pt>
                <c:pt idx="6">
                  <c:v>-1.4691141323011259</c:v>
                </c:pt>
                <c:pt idx="7">
                  <c:v>-1.6789875797727152</c:v>
                </c:pt>
                <c:pt idx="8">
                  <c:v>-1.8888610272443045</c:v>
                </c:pt>
                <c:pt idx="9">
                  <c:v>-2.0987344747158936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E9-449B-A801-8A39E78E6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4965584"/>
        <c:axId val="2004967504"/>
        <c:extLst/>
      </c:lineChart>
      <c:catAx>
        <c:axId val="200496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4967504"/>
        <c:crosses val="autoZero"/>
        <c:auto val="1"/>
        <c:lblAlgn val="ctr"/>
        <c:lblOffset val="100"/>
        <c:noMultiLvlLbl val="0"/>
      </c:catAx>
      <c:valAx>
        <c:axId val="20049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49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Sheet1!$A$8</c:f>
              <c:strCache>
                <c:ptCount val="1"/>
                <c:pt idx="0">
                  <c:v>DRIVE=0,TONE=10,LEVEL=10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Sheet1!$C$8:$L$8</c:f>
              <c:numCache>
                <c:formatCode>0.000</c:formatCode>
                <c:ptCount val="10"/>
                <c:pt idx="0">
                  <c:v>-0.3464360706502907</c:v>
                </c:pt>
                <c:pt idx="1">
                  <c:v>-0.69287214130058139</c:v>
                </c:pt>
                <c:pt idx="2">
                  <c:v>-1.0393082119508721</c:v>
                </c:pt>
                <c:pt idx="3">
                  <c:v>-1.3857442826011628</c:v>
                </c:pt>
                <c:pt idx="4">
                  <c:v>-1.7321803532514535</c:v>
                </c:pt>
                <c:pt idx="5">
                  <c:v>-2.0786164239017442</c:v>
                </c:pt>
                <c:pt idx="6">
                  <c:v>-2.4250524945520349</c:v>
                </c:pt>
                <c:pt idx="7">
                  <c:v>-2.7714885652023256</c:v>
                </c:pt>
                <c:pt idx="8">
                  <c:v>-3.1179246358526163</c:v>
                </c:pt>
                <c:pt idx="9">
                  <c:v>-3.464360706502907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9061-4E99-B56D-1C6A865ECA25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DRIVE=5,TONE=10,LEVEL=10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Sheet1!$C$14:$L$14</c:f>
              <c:numCache>
                <c:formatCode>0.000</c:formatCode>
                <c:ptCount val="10"/>
                <c:pt idx="0">
                  <c:v>-0.26977186023236338</c:v>
                </c:pt>
                <c:pt idx="1">
                  <c:v>-0.53954372046472676</c:v>
                </c:pt>
                <c:pt idx="2">
                  <c:v>-0.8093155806970902</c:v>
                </c:pt>
                <c:pt idx="3">
                  <c:v>-1.0790874409294535</c:v>
                </c:pt>
                <c:pt idx="4">
                  <c:v>-1.3488593011618171</c:v>
                </c:pt>
                <c:pt idx="5">
                  <c:v>-1.6186311613941804</c:v>
                </c:pt>
                <c:pt idx="6">
                  <c:v>-1.8884030216265439</c:v>
                </c:pt>
                <c:pt idx="7">
                  <c:v>-2.158174881858907</c:v>
                </c:pt>
                <c:pt idx="8">
                  <c:v>-2.4279467420912706</c:v>
                </c:pt>
                <c:pt idx="9">
                  <c:v>-2.6977186023236341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5-9061-4E99-B56D-1C6A865ECA25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-0.2098734474715894</c:v>
                </c:pt>
                <c:pt idx="1">
                  <c:v>-0.41974689494317879</c:v>
                </c:pt>
                <c:pt idx="2">
                  <c:v>-0.62962034241476816</c:v>
                </c:pt>
                <c:pt idx="3">
                  <c:v>-0.83949378988635759</c:v>
                </c:pt>
                <c:pt idx="4">
                  <c:v>-1.0493672373579468</c:v>
                </c:pt>
                <c:pt idx="5">
                  <c:v>-1.2592406848295363</c:v>
                </c:pt>
                <c:pt idx="6">
                  <c:v>-1.4691141323011259</c:v>
                </c:pt>
                <c:pt idx="7">
                  <c:v>-1.6789875797727152</c:v>
                </c:pt>
                <c:pt idx="8">
                  <c:v>-1.8888610272443045</c:v>
                </c:pt>
                <c:pt idx="9">
                  <c:v>-2.0987344747158936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61-4E99-B56D-1C6A865EC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4965584"/>
        <c:axId val="2004967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Sheet1!$C$4:$L$4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-0.30079545373868471</c:v>
                      </c:pt>
                      <c:pt idx="1">
                        <c:v>-0.60159090747736943</c:v>
                      </c:pt>
                      <c:pt idx="2">
                        <c:v>-0.90238636121605409</c:v>
                      </c:pt>
                      <c:pt idx="3">
                        <c:v>-1.2031818149547389</c:v>
                      </c:pt>
                      <c:pt idx="4">
                        <c:v>-1.5039772686934234</c:v>
                      </c:pt>
                      <c:pt idx="5">
                        <c:v>-1.8047727224321082</c:v>
                      </c:pt>
                      <c:pt idx="6">
                        <c:v>-2.1055681761707929</c:v>
                      </c:pt>
                      <c:pt idx="7">
                        <c:v>-2.4063636299094777</c:v>
                      </c:pt>
                      <c:pt idx="8">
                        <c:v>-2.707159083648162</c:v>
                      </c:pt>
                      <c:pt idx="9">
                        <c:v>-3.0079545373868468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061-4E99-B56D-1C6A865ECA2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Sheet1!$C$6:$L$6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-0.31791025320120053</c:v>
                      </c:pt>
                      <c:pt idx="1">
                        <c:v>-0.63582050640240106</c:v>
                      </c:pt>
                      <c:pt idx="2">
                        <c:v>-0.95373075960360165</c:v>
                      </c:pt>
                      <c:pt idx="3">
                        <c:v>-1.2716410128048021</c:v>
                      </c:pt>
                      <c:pt idx="4">
                        <c:v>-1.5895512660060027</c:v>
                      </c:pt>
                      <c:pt idx="5">
                        <c:v>-1.9074615192072033</c:v>
                      </c:pt>
                      <c:pt idx="6">
                        <c:v>-2.2253717724084039</c:v>
                      </c:pt>
                      <c:pt idx="7">
                        <c:v>-2.5432820256096043</c:v>
                      </c:pt>
                      <c:pt idx="8">
                        <c:v>-2.8611922788108051</c:v>
                      </c:pt>
                      <c:pt idx="9">
                        <c:v>-3.1791025320120054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061-4E99-B56D-1C6A865ECA2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Sheet1!$C$10:$L$10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-0.27557596535963086</c:v>
                      </c:pt>
                      <c:pt idx="1">
                        <c:v>-0.55115193071926172</c:v>
                      </c:pt>
                      <c:pt idx="2">
                        <c:v>-0.82672789607889263</c:v>
                      </c:pt>
                      <c:pt idx="3">
                        <c:v>-1.1023038614385234</c:v>
                      </c:pt>
                      <c:pt idx="4">
                        <c:v>-1.3778798267981545</c:v>
                      </c:pt>
                      <c:pt idx="5">
                        <c:v>-1.6534557921577853</c:v>
                      </c:pt>
                      <c:pt idx="6">
                        <c:v>-1.9290317575174161</c:v>
                      </c:pt>
                      <c:pt idx="7">
                        <c:v>-2.2046077228770469</c:v>
                      </c:pt>
                      <c:pt idx="8">
                        <c:v>-2.4801836882366777</c:v>
                      </c:pt>
                      <c:pt idx="9">
                        <c:v>-2.7557596535963089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061-4E99-B56D-1C6A865ECA2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Sheet1!$C$12:$L$12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-0.28638860482781997</c:v>
                      </c:pt>
                      <c:pt idx="1">
                        <c:v>-0.57277720965563994</c:v>
                      </c:pt>
                      <c:pt idx="2">
                        <c:v>-0.85916581448345997</c:v>
                      </c:pt>
                      <c:pt idx="3">
                        <c:v>-1.1455544193112799</c:v>
                      </c:pt>
                      <c:pt idx="4">
                        <c:v>-1.4319430241390998</c:v>
                      </c:pt>
                      <c:pt idx="5">
                        <c:v>-1.7183316289669199</c:v>
                      </c:pt>
                      <c:pt idx="6">
                        <c:v>-2.0047202337947398</c:v>
                      </c:pt>
                      <c:pt idx="7">
                        <c:v>-2.2911088386225598</c:v>
                      </c:pt>
                      <c:pt idx="8">
                        <c:v>-2.5774974434503801</c:v>
                      </c:pt>
                      <c:pt idx="9">
                        <c:v>-2.8638860482781996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061-4E99-B56D-1C6A865ECA2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DRIVE=10,TONE=0,LEVEL=10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Sheet1!$C$16:$L$16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-0.21765240289434606</c:v>
                      </c:pt>
                      <c:pt idx="1">
                        <c:v>-0.43530480578869213</c:v>
                      </c:pt>
                      <c:pt idx="2">
                        <c:v>-0.65295720868303819</c:v>
                      </c:pt>
                      <c:pt idx="3">
                        <c:v>-0.87060961157738426</c:v>
                      </c:pt>
                      <c:pt idx="4">
                        <c:v>-1.0882620144717303</c:v>
                      </c:pt>
                      <c:pt idx="5">
                        <c:v>-1.3059144173660764</c:v>
                      </c:pt>
                      <c:pt idx="6">
                        <c:v>-1.5235668202604224</c:v>
                      </c:pt>
                      <c:pt idx="7">
                        <c:v>-1.7412192231547685</c:v>
                      </c:pt>
                      <c:pt idx="8">
                        <c:v>-1.9588716260491148</c:v>
                      </c:pt>
                      <c:pt idx="9">
                        <c:v>-2.1765240289434606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061-4E99-B56D-1C6A865ECA2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DRIVE=10,TONE=5,LEVEL=10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Sheet1!$C$18:$L$18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-0.23164928199357601</c:v>
                      </c:pt>
                      <c:pt idx="1">
                        <c:v>-0.46329856398715202</c:v>
                      </c:pt>
                      <c:pt idx="2">
                        <c:v>-0.69494784598072801</c:v>
                      </c:pt>
                      <c:pt idx="3">
                        <c:v>-0.92659712797430405</c:v>
                      </c:pt>
                      <c:pt idx="4">
                        <c:v>-1.1582464099678802</c:v>
                      </c:pt>
                      <c:pt idx="5">
                        <c:v>-1.389895691961456</c:v>
                      </c:pt>
                      <c:pt idx="6">
                        <c:v>-1.6215449739550321</c:v>
                      </c:pt>
                      <c:pt idx="7">
                        <c:v>-1.8531942559486081</c:v>
                      </c:pt>
                      <c:pt idx="8">
                        <c:v>-2.0848435379421844</c:v>
                      </c:pt>
                      <c:pt idx="9">
                        <c:v>-2.3164928199357604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061-4E99-B56D-1C6A865ECA25}"/>
                  </c:ext>
                </c:extLst>
              </c15:ser>
            </c15:filteredLineSeries>
          </c:ext>
        </c:extLst>
      </c:lineChart>
      <c:catAx>
        <c:axId val="200496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4967504"/>
        <c:crosses val="autoZero"/>
        <c:auto val="1"/>
        <c:lblAlgn val="ctr"/>
        <c:lblOffset val="100"/>
        <c:noMultiLvlLbl val="0"/>
      </c:catAx>
      <c:valAx>
        <c:axId val="20049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49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Sheet1!$A$16</c:f>
              <c:strCache>
                <c:ptCount val="1"/>
                <c:pt idx="0">
                  <c:v>DRIVE=10,TONE=0,LEVEL=10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Sheet1!$C$16:$L$16</c:f>
              <c:numCache>
                <c:formatCode>0.000</c:formatCode>
                <c:ptCount val="10"/>
                <c:pt idx="0">
                  <c:v>-0.21765240289434606</c:v>
                </c:pt>
                <c:pt idx="1">
                  <c:v>-0.43530480578869213</c:v>
                </c:pt>
                <c:pt idx="2">
                  <c:v>-0.65295720868303819</c:v>
                </c:pt>
                <c:pt idx="3">
                  <c:v>-0.87060961157738426</c:v>
                </c:pt>
                <c:pt idx="4">
                  <c:v>-1.0882620144717303</c:v>
                </c:pt>
                <c:pt idx="5">
                  <c:v>-1.3059144173660764</c:v>
                </c:pt>
                <c:pt idx="6">
                  <c:v>-1.5235668202604224</c:v>
                </c:pt>
                <c:pt idx="7">
                  <c:v>-1.7412192231547685</c:v>
                </c:pt>
                <c:pt idx="8">
                  <c:v>-1.9588716260491148</c:v>
                </c:pt>
                <c:pt idx="9">
                  <c:v>-2.1765240289434606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451-4986-9F58-8BCCEB9B7720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DRIVE=10,TONE=5,LEVEL=10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Sheet1!$C$18:$L$18</c:f>
              <c:numCache>
                <c:formatCode>0.000</c:formatCode>
                <c:ptCount val="10"/>
                <c:pt idx="0">
                  <c:v>-0.23164928199357601</c:v>
                </c:pt>
                <c:pt idx="1">
                  <c:v>-0.46329856398715202</c:v>
                </c:pt>
                <c:pt idx="2">
                  <c:v>-0.69494784598072801</c:v>
                </c:pt>
                <c:pt idx="3">
                  <c:v>-0.92659712797430405</c:v>
                </c:pt>
                <c:pt idx="4">
                  <c:v>-1.1582464099678802</c:v>
                </c:pt>
                <c:pt idx="5">
                  <c:v>-1.389895691961456</c:v>
                </c:pt>
                <c:pt idx="6">
                  <c:v>-1.6215449739550321</c:v>
                </c:pt>
                <c:pt idx="7">
                  <c:v>-1.8531942559486081</c:v>
                </c:pt>
                <c:pt idx="8">
                  <c:v>-2.0848435379421844</c:v>
                </c:pt>
                <c:pt idx="9">
                  <c:v>-2.3164928199357604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D451-4986-9F58-8BCCEB9B7720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-0.2098734474715894</c:v>
                </c:pt>
                <c:pt idx="1">
                  <c:v>-0.41974689494317879</c:v>
                </c:pt>
                <c:pt idx="2">
                  <c:v>-0.62962034241476816</c:v>
                </c:pt>
                <c:pt idx="3">
                  <c:v>-0.83949378988635759</c:v>
                </c:pt>
                <c:pt idx="4">
                  <c:v>-1.0493672373579468</c:v>
                </c:pt>
                <c:pt idx="5">
                  <c:v>-1.2592406848295363</c:v>
                </c:pt>
                <c:pt idx="6">
                  <c:v>-1.4691141323011259</c:v>
                </c:pt>
                <c:pt idx="7">
                  <c:v>-1.6789875797727152</c:v>
                </c:pt>
                <c:pt idx="8">
                  <c:v>-1.8888610272443045</c:v>
                </c:pt>
                <c:pt idx="9">
                  <c:v>-2.0987344747158936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1-4986-9F58-8BCCEB9B7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4965584"/>
        <c:axId val="2004967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Sheet1!$C$4:$L$4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-0.30079545373868471</c:v>
                      </c:pt>
                      <c:pt idx="1">
                        <c:v>-0.60159090747736943</c:v>
                      </c:pt>
                      <c:pt idx="2">
                        <c:v>-0.90238636121605409</c:v>
                      </c:pt>
                      <c:pt idx="3">
                        <c:v>-1.2031818149547389</c:v>
                      </c:pt>
                      <c:pt idx="4">
                        <c:v>-1.5039772686934234</c:v>
                      </c:pt>
                      <c:pt idx="5">
                        <c:v>-1.8047727224321082</c:v>
                      </c:pt>
                      <c:pt idx="6">
                        <c:v>-2.1055681761707929</c:v>
                      </c:pt>
                      <c:pt idx="7">
                        <c:v>-2.4063636299094777</c:v>
                      </c:pt>
                      <c:pt idx="8">
                        <c:v>-2.707159083648162</c:v>
                      </c:pt>
                      <c:pt idx="9">
                        <c:v>-3.0079545373868468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451-4986-9F58-8BCCEB9B772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Sheet1!$C$6:$L$6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-0.31791025320120053</c:v>
                      </c:pt>
                      <c:pt idx="1">
                        <c:v>-0.63582050640240106</c:v>
                      </c:pt>
                      <c:pt idx="2">
                        <c:v>-0.95373075960360165</c:v>
                      </c:pt>
                      <c:pt idx="3">
                        <c:v>-1.2716410128048021</c:v>
                      </c:pt>
                      <c:pt idx="4">
                        <c:v>-1.5895512660060027</c:v>
                      </c:pt>
                      <c:pt idx="5">
                        <c:v>-1.9074615192072033</c:v>
                      </c:pt>
                      <c:pt idx="6">
                        <c:v>-2.2253717724084039</c:v>
                      </c:pt>
                      <c:pt idx="7">
                        <c:v>-2.5432820256096043</c:v>
                      </c:pt>
                      <c:pt idx="8">
                        <c:v>-2.8611922788108051</c:v>
                      </c:pt>
                      <c:pt idx="9">
                        <c:v>-3.1791025320120054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451-4986-9F58-8BCCEB9B772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DRIVE=0,TONE=10,LEVEL=10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Sheet1!$C$8:$L$8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-0.3464360706502907</c:v>
                      </c:pt>
                      <c:pt idx="1">
                        <c:v>-0.69287214130058139</c:v>
                      </c:pt>
                      <c:pt idx="2">
                        <c:v>-1.0393082119508721</c:v>
                      </c:pt>
                      <c:pt idx="3">
                        <c:v>-1.3857442826011628</c:v>
                      </c:pt>
                      <c:pt idx="4">
                        <c:v>-1.7321803532514535</c:v>
                      </c:pt>
                      <c:pt idx="5">
                        <c:v>-2.0786164239017442</c:v>
                      </c:pt>
                      <c:pt idx="6">
                        <c:v>-2.4250524945520349</c:v>
                      </c:pt>
                      <c:pt idx="7">
                        <c:v>-2.7714885652023256</c:v>
                      </c:pt>
                      <c:pt idx="8">
                        <c:v>-3.1179246358526163</c:v>
                      </c:pt>
                      <c:pt idx="9">
                        <c:v>-3.464360706502907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451-4986-9F58-8BCCEB9B772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Sheet1!$C$10:$L$10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-0.27557596535963086</c:v>
                      </c:pt>
                      <c:pt idx="1">
                        <c:v>-0.55115193071926172</c:v>
                      </c:pt>
                      <c:pt idx="2">
                        <c:v>-0.82672789607889263</c:v>
                      </c:pt>
                      <c:pt idx="3">
                        <c:v>-1.1023038614385234</c:v>
                      </c:pt>
                      <c:pt idx="4">
                        <c:v>-1.3778798267981545</c:v>
                      </c:pt>
                      <c:pt idx="5">
                        <c:v>-1.6534557921577853</c:v>
                      </c:pt>
                      <c:pt idx="6">
                        <c:v>-1.9290317575174161</c:v>
                      </c:pt>
                      <c:pt idx="7">
                        <c:v>-2.2046077228770469</c:v>
                      </c:pt>
                      <c:pt idx="8">
                        <c:v>-2.4801836882366777</c:v>
                      </c:pt>
                      <c:pt idx="9">
                        <c:v>-2.7557596535963089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451-4986-9F58-8BCCEB9B772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Sheet1!$C$12:$L$12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-0.28638860482781997</c:v>
                      </c:pt>
                      <c:pt idx="1">
                        <c:v>-0.57277720965563994</c:v>
                      </c:pt>
                      <c:pt idx="2">
                        <c:v>-0.85916581448345997</c:v>
                      </c:pt>
                      <c:pt idx="3">
                        <c:v>-1.1455544193112799</c:v>
                      </c:pt>
                      <c:pt idx="4">
                        <c:v>-1.4319430241390998</c:v>
                      </c:pt>
                      <c:pt idx="5">
                        <c:v>-1.7183316289669199</c:v>
                      </c:pt>
                      <c:pt idx="6">
                        <c:v>-2.0047202337947398</c:v>
                      </c:pt>
                      <c:pt idx="7">
                        <c:v>-2.2911088386225598</c:v>
                      </c:pt>
                      <c:pt idx="8">
                        <c:v>-2.5774974434503801</c:v>
                      </c:pt>
                      <c:pt idx="9">
                        <c:v>-2.8638860482781996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451-4986-9F58-8BCCEB9B772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  <c:pt idx="0">
                        <c:v>DRIVE=5,TONE=10,LEVEL=10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Sheet1!$C$14:$L$14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-0.26977186023236338</c:v>
                      </c:pt>
                      <c:pt idx="1">
                        <c:v>-0.53954372046472676</c:v>
                      </c:pt>
                      <c:pt idx="2">
                        <c:v>-0.8093155806970902</c:v>
                      </c:pt>
                      <c:pt idx="3">
                        <c:v>-1.0790874409294535</c:v>
                      </c:pt>
                      <c:pt idx="4">
                        <c:v>-1.3488593011618171</c:v>
                      </c:pt>
                      <c:pt idx="5">
                        <c:v>-1.6186311613941804</c:v>
                      </c:pt>
                      <c:pt idx="6">
                        <c:v>-1.8884030216265439</c:v>
                      </c:pt>
                      <c:pt idx="7">
                        <c:v>-2.158174881858907</c:v>
                      </c:pt>
                      <c:pt idx="8">
                        <c:v>-2.4279467420912706</c:v>
                      </c:pt>
                      <c:pt idx="9">
                        <c:v>-2.6977186023236341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451-4986-9F58-8BCCEB9B7720}"/>
                  </c:ext>
                </c:extLst>
              </c15:ser>
            </c15:filteredLineSeries>
          </c:ext>
        </c:extLst>
      </c:lineChart>
      <c:catAx>
        <c:axId val="200496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4967504"/>
        <c:crosses val="autoZero"/>
        <c:auto val="1"/>
        <c:lblAlgn val="ctr"/>
        <c:lblOffset val="100"/>
        <c:noMultiLvlLbl val="0"/>
      </c:catAx>
      <c:valAx>
        <c:axId val="20049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49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114300</xdr:rowOff>
    </xdr:from>
    <xdr:to>
      <xdr:col>5</xdr:col>
      <xdr:colOff>566738</xdr:colOff>
      <xdr:row>45</xdr:row>
      <xdr:rowOff>76200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7197BA2-98EA-4B92-A401-F0E650688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21</xdr:row>
      <xdr:rowOff>142875</xdr:rowOff>
    </xdr:from>
    <xdr:to>
      <xdr:col>12</xdr:col>
      <xdr:colOff>176213</xdr:colOff>
      <xdr:row>45</xdr:row>
      <xdr:rowOff>104775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2E2C2AB-2348-4F46-8F14-2A32E3B9E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171450</xdr:colOff>
      <xdr:row>21</xdr:row>
      <xdr:rowOff>142875</xdr:rowOff>
    </xdr:from>
    <xdr:to>
      <xdr:col>22</xdr:col>
      <xdr:colOff>319088</xdr:colOff>
      <xdr:row>45</xdr:row>
      <xdr:rowOff>104775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CFC720A-904B-4F83-A8C6-224D029B3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115" zoomScaleNormal="115" workbookViewId="0">
      <selection activeCell="H12" sqref="H12"/>
    </sheetView>
  </sheetViews>
  <sheetFormatPr defaultRowHeight="13.5" x14ac:dyDescent="0.15"/>
  <cols>
    <col min="1" max="1" width="27.875" bestFit="1" customWidth="1"/>
    <col min="2" max="2" width="15" bestFit="1" customWidth="1"/>
    <col min="3" max="12" width="13.875" bestFit="1" customWidth="1"/>
  </cols>
  <sheetData>
    <row r="1" spans="1:12" x14ac:dyDescent="0.15">
      <c r="A1" s="2"/>
      <c r="B1" s="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15">
      <c r="A2" t="s">
        <v>1</v>
      </c>
      <c r="B2">
        <v>-1.5248172426350071E-3</v>
      </c>
      <c r="C2" s="3">
        <f>C$1*$B2*82</f>
        <v>-0.12503501389607058</v>
      </c>
      <c r="D2" s="3">
        <f t="shared" ref="D2:L17" si="0">D$1*$B2*82</f>
        <v>-0.25007002779214116</v>
      </c>
      <c r="E2" s="3">
        <f t="shared" si="0"/>
        <v>-0.37510504168821174</v>
      </c>
      <c r="F2" s="3">
        <f t="shared" si="0"/>
        <v>-0.50014005558428232</v>
      </c>
      <c r="G2" s="3">
        <f t="shared" si="0"/>
        <v>-0.62517506948035284</v>
      </c>
      <c r="H2" s="3">
        <f t="shared" si="0"/>
        <v>-0.75021008337642348</v>
      </c>
      <c r="I2" s="3">
        <f t="shared" si="0"/>
        <v>-0.87524509727249411</v>
      </c>
      <c r="J2" s="3">
        <f t="shared" si="0"/>
        <v>-1.0002801111685646</v>
      </c>
      <c r="K2" s="3">
        <f t="shared" si="0"/>
        <v>-1.1253151250646352</v>
      </c>
      <c r="L2" s="3">
        <f t="shared" si="0"/>
        <v>-1.2503501389607057</v>
      </c>
    </row>
    <row r="3" spans="1:12" x14ac:dyDescent="0.15">
      <c r="A3" t="s">
        <v>2</v>
      </c>
      <c r="B3">
        <v>-3.267214284044995E-3</v>
      </c>
      <c r="C3" s="3">
        <f t="shared" ref="C3:L20" si="1">C$1*$B3*82</f>
        <v>-0.26791157129168958</v>
      </c>
      <c r="D3" s="3">
        <f t="shared" si="0"/>
        <v>-0.53582314258337915</v>
      </c>
      <c r="E3" s="3">
        <f t="shared" si="0"/>
        <v>-0.80373471387506878</v>
      </c>
      <c r="F3" s="3">
        <f t="shared" si="0"/>
        <v>-1.0716462851667583</v>
      </c>
      <c r="G3" s="3">
        <f t="shared" si="0"/>
        <v>-1.3395578564584478</v>
      </c>
      <c r="H3" s="3">
        <f t="shared" si="0"/>
        <v>-1.6074694277501376</v>
      </c>
      <c r="I3" s="3">
        <f t="shared" si="0"/>
        <v>-1.8753809990418273</v>
      </c>
      <c r="J3" s="3">
        <f t="shared" si="0"/>
        <v>-2.1432925703335166</v>
      </c>
      <c r="K3" s="3">
        <f t="shared" si="0"/>
        <v>-2.4112041416252064</v>
      </c>
      <c r="L3" s="3">
        <f t="shared" si="0"/>
        <v>-2.6791157129168957</v>
      </c>
    </row>
    <row r="4" spans="1:12" x14ac:dyDescent="0.15">
      <c r="A4" t="s">
        <v>3</v>
      </c>
      <c r="B4">
        <v>-3.668237240715667E-3</v>
      </c>
      <c r="C4" s="3">
        <f t="shared" si="1"/>
        <v>-0.30079545373868471</v>
      </c>
      <c r="D4" s="3">
        <f t="shared" si="0"/>
        <v>-0.60159090747736943</v>
      </c>
      <c r="E4" s="3">
        <f t="shared" si="0"/>
        <v>-0.90238636121605409</v>
      </c>
      <c r="F4" s="3">
        <f t="shared" si="0"/>
        <v>-1.2031818149547389</v>
      </c>
      <c r="G4" s="3">
        <f t="shared" si="0"/>
        <v>-1.5039772686934234</v>
      </c>
      <c r="H4" s="3">
        <f t="shared" si="0"/>
        <v>-1.8047727224321082</v>
      </c>
      <c r="I4" s="3">
        <f t="shared" si="0"/>
        <v>-2.1055681761707929</v>
      </c>
      <c r="J4" s="3">
        <f t="shared" si="0"/>
        <v>-2.4063636299094777</v>
      </c>
      <c r="K4" s="3">
        <f t="shared" si="0"/>
        <v>-2.707159083648162</v>
      </c>
      <c r="L4" s="3">
        <f t="shared" si="0"/>
        <v>-3.0079545373868468</v>
      </c>
    </row>
    <row r="5" spans="1:12" x14ac:dyDescent="0.15">
      <c r="A5" t="s">
        <v>4</v>
      </c>
      <c r="B5">
        <v>-3.5343222580615E-3</v>
      </c>
      <c r="C5" s="3">
        <f t="shared" si="1"/>
        <v>-0.289814425161043</v>
      </c>
      <c r="D5" s="3">
        <f t="shared" si="0"/>
        <v>-0.579628850322086</v>
      </c>
      <c r="E5" s="3">
        <f t="shared" si="0"/>
        <v>-0.86944327548312894</v>
      </c>
      <c r="F5" s="3">
        <f t="shared" si="0"/>
        <v>-1.159257700644172</v>
      </c>
      <c r="G5" s="3">
        <f t="shared" si="0"/>
        <v>-1.449072125805215</v>
      </c>
      <c r="H5" s="3">
        <f t="shared" si="0"/>
        <v>-1.7388865509662579</v>
      </c>
      <c r="I5" s="3">
        <f t="shared" si="0"/>
        <v>-2.0287009761273009</v>
      </c>
      <c r="J5" s="3">
        <f t="shared" si="0"/>
        <v>-2.318515401288344</v>
      </c>
      <c r="K5" s="3">
        <f t="shared" si="0"/>
        <v>-2.608329826449387</v>
      </c>
      <c r="L5" s="3">
        <f t="shared" si="0"/>
        <v>-2.8981442516104301</v>
      </c>
    </row>
    <row r="6" spans="1:12" x14ac:dyDescent="0.15">
      <c r="A6" t="s">
        <v>5</v>
      </c>
      <c r="B6">
        <v>-3.8769543073317141E-3</v>
      </c>
      <c r="C6" s="3">
        <f t="shared" si="1"/>
        <v>-0.31791025320120053</v>
      </c>
      <c r="D6" s="3">
        <f t="shared" si="0"/>
        <v>-0.63582050640240106</v>
      </c>
      <c r="E6" s="3">
        <f t="shared" si="0"/>
        <v>-0.95373075960360165</v>
      </c>
      <c r="F6" s="3">
        <f t="shared" si="0"/>
        <v>-1.2716410128048021</v>
      </c>
      <c r="G6" s="3">
        <f t="shared" si="0"/>
        <v>-1.5895512660060027</v>
      </c>
      <c r="H6" s="3">
        <f t="shared" si="0"/>
        <v>-1.9074615192072033</v>
      </c>
      <c r="I6" s="3">
        <f t="shared" si="0"/>
        <v>-2.2253717724084039</v>
      </c>
      <c r="J6" s="3">
        <f t="shared" si="0"/>
        <v>-2.5432820256096043</v>
      </c>
      <c r="K6" s="3">
        <f t="shared" si="0"/>
        <v>-2.8611922788108051</v>
      </c>
      <c r="L6" s="3">
        <f t="shared" si="0"/>
        <v>-3.1791025320120054</v>
      </c>
    </row>
    <row r="7" spans="1:12" x14ac:dyDescent="0.15">
      <c r="A7" t="s">
        <v>6</v>
      </c>
      <c r="B7">
        <v>-3.9462110309748024E-3</v>
      </c>
      <c r="C7" s="3">
        <f t="shared" si="1"/>
        <v>-0.32358930453993379</v>
      </c>
      <c r="D7" s="3">
        <f t="shared" si="0"/>
        <v>-0.64717860907986757</v>
      </c>
      <c r="E7" s="3">
        <f t="shared" si="0"/>
        <v>-0.97076791361980141</v>
      </c>
      <c r="F7" s="3">
        <f t="shared" si="0"/>
        <v>-1.2943572181597351</v>
      </c>
      <c r="G7" s="3">
        <f t="shared" si="0"/>
        <v>-1.6179465226996692</v>
      </c>
      <c r="H7" s="3">
        <f t="shared" si="0"/>
        <v>-1.9415358272396028</v>
      </c>
      <c r="I7" s="3">
        <f t="shared" si="0"/>
        <v>-2.2651251317795364</v>
      </c>
      <c r="J7" s="3">
        <f t="shared" si="0"/>
        <v>-2.5887144363194703</v>
      </c>
      <c r="K7" s="3">
        <f t="shared" si="0"/>
        <v>-2.9123037408594041</v>
      </c>
      <c r="L7" s="3">
        <f t="shared" si="0"/>
        <v>-3.2358930453993384</v>
      </c>
    </row>
    <row r="8" spans="1:12" x14ac:dyDescent="0.15">
      <c r="A8" t="s">
        <v>7</v>
      </c>
      <c r="B8">
        <v>-4.2248301298815939E-3</v>
      </c>
      <c r="C8" s="3">
        <f>C$1*$B8*82</f>
        <v>-0.3464360706502907</v>
      </c>
      <c r="D8" s="3">
        <f t="shared" si="0"/>
        <v>-0.69287214130058139</v>
      </c>
      <c r="E8" s="3">
        <f t="shared" si="0"/>
        <v>-1.0393082119508721</v>
      </c>
      <c r="F8" s="3">
        <f t="shared" si="0"/>
        <v>-1.3857442826011628</v>
      </c>
      <c r="G8" s="3">
        <f t="shared" si="0"/>
        <v>-1.7321803532514535</v>
      </c>
      <c r="H8" s="3">
        <f t="shared" si="0"/>
        <v>-2.0786164239017442</v>
      </c>
      <c r="I8" s="3">
        <f t="shared" si="0"/>
        <v>-2.4250524945520349</v>
      </c>
      <c r="J8" s="3">
        <f t="shared" si="0"/>
        <v>-2.7714885652023256</v>
      </c>
      <c r="K8" s="3">
        <f t="shared" si="0"/>
        <v>-3.1179246358526163</v>
      </c>
      <c r="L8" s="3">
        <f t="shared" si="0"/>
        <v>-3.464360706502907</v>
      </c>
    </row>
    <row r="9" spans="1:12" x14ac:dyDescent="0.15">
      <c r="A9" t="s">
        <v>8</v>
      </c>
      <c r="B9">
        <v>-3.249070412039542E-3</v>
      </c>
      <c r="C9" s="3">
        <f t="shared" si="1"/>
        <v>-0.26642377378724247</v>
      </c>
      <c r="D9" s="3">
        <f t="shared" si="0"/>
        <v>-0.53284754757448494</v>
      </c>
      <c r="E9" s="3">
        <f t="shared" si="0"/>
        <v>-0.7992713213617274</v>
      </c>
      <c r="F9" s="3">
        <f t="shared" si="0"/>
        <v>-1.0656950951489699</v>
      </c>
      <c r="G9" s="3">
        <f t="shared" si="0"/>
        <v>-1.3321188689362122</v>
      </c>
      <c r="H9" s="3">
        <f t="shared" si="0"/>
        <v>-1.5985426427234548</v>
      </c>
      <c r="I9" s="3">
        <f t="shared" si="0"/>
        <v>-1.8649664165106972</v>
      </c>
      <c r="J9" s="3">
        <f t="shared" si="0"/>
        <v>-2.1313901902979397</v>
      </c>
      <c r="K9" s="3">
        <f t="shared" si="0"/>
        <v>-2.3978139640851821</v>
      </c>
      <c r="L9" s="3">
        <f t="shared" si="0"/>
        <v>-2.6642377378724245</v>
      </c>
    </row>
    <row r="10" spans="1:12" x14ac:dyDescent="0.15">
      <c r="A10" t="s">
        <v>9</v>
      </c>
      <c r="B10">
        <v>-3.3606825043857422E-3</v>
      </c>
      <c r="C10" s="3">
        <f t="shared" si="1"/>
        <v>-0.27557596535963086</v>
      </c>
      <c r="D10" s="3">
        <f t="shared" si="0"/>
        <v>-0.55115193071926172</v>
      </c>
      <c r="E10" s="3">
        <f t="shared" si="0"/>
        <v>-0.82672789607889263</v>
      </c>
      <c r="F10" s="3">
        <f t="shared" si="0"/>
        <v>-1.1023038614385234</v>
      </c>
      <c r="G10" s="3">
        <f t="shared" si="0"/>
        <v>-1.3778798267981545</v>
      </c>
      <c r="H10" s="3">
        <f t="shared" si="0"/>
        <v>-1.6534557921577853</v>
      </c>
      <c r="I10" s="3">
        <f t="shared" si="0"/>
        <v>-1.9290317575174161</v>
      </c>
      <c r="J10" s="3">
        <f t="shared" si="0"/>
        <v>-2.2046077228770469</v>
      </c>
      <c r="K10" s="3">
        <f t="shared" si="0"/>
        <v>-2.4801836882366777</v>
      </c>
      <c r="L10" s="3">
        <f t="shared" si="0"/>
        <v>-2.7557596535963089</v>
      </c>
    </row>
    <row r="11" spans="1:12" x14ac:dyDescent="0.15">
      <c r="A11" t="s">
        <v>10</v>
      </c>
      <c r="B11">
        <v>-3.4093975779273698E-3</v>
      </c>
      <c r="C11" s="3">
        <f t="shared" si="1"/>
        <v>-0.2795706013900443</v>
      </c>
      <c r="D11" s="3">
        <f t="shared" si="0"/>
        <v>-0.55914120278008861</v>
      </c>
      <c r="E11" s="3">
        <f t="shared" si="0"/>
        <v>-0.83871180417013291</v>
      </c>
      <c r="F11" s="3">
        <f t="shared" si="0"/>
        <v>-1.1182824055601772</v>
      </c>
      <c r="G11" s="3">
        <f t="shared" si="0"/>
        <v>-1.3978530069502217</v>
      </c>
      <c r="H11" s="3">
        <f t="shared" si="0"/>
        <v>-1.6774236083402658</v>
      </c>
      <c r="I11" s="3">
        <f t="shared" si="0"/>
        <v>-1.9569942097303101</v>
      </c>
      <c r="J11" s="3">
        <f t="shared" si="0"/>
        <v>-2.2365648111203544</v>
      </c>
      <c r="K11" s="3">
        <f t="shared" si="0"/>
        <v>-2.516135412510399</v>
      </c>
      <c r="L11" s="3">
        <f t="shared" si="0"/>
        <v>-2.7957060139004435</v>
      </c>
    </row>
    <row r="12" spans="1:12" x14ac:dyDescent="0.15">
      <c r="A12" t="s">
        <v>11</v>
      </c>
      <c r="B12">
        <v>-3.4925439613148778E-3</v>
      </c>
      <c r="C12" s="3">
        <f t="shared" si="1"/>
        <v>-0.28638860482781997</v>
      </c>
      <c r="D12" s="3">
        <f t="shared" si="0"/>
        <v>-0.57277720965563994</v>
      </c>
      <c r="E12" s="3">
        <f t="shared" si="0"/>
        <v>-0.85916581448345997</v>
      </c>
      <c r="F12" s="3">
        <f t="shared" si="0"/>
        <v>-1.1455544193112799</v>
      </c>
      <c r="G12" s="3">
        <f t="shared" si="0"/>
        <v>-1.4319430241390998</v>
      </c>
      <c r="H12" s="3">
        <f t="shared" si="0"/>
        <v>-1.7183316289669199</v>
      </c>
      <c r="I12" s="3">
        <f t="shared" si="0"/>
        <v>-2.0047202337947398</v>
      </c>
      <c r="J12" s="3">
        <f t="shared" si="0"/>
        <v>-2.2911088386225598</v>
      </c>
      <c r="K12" s="3">
        <f t="shared" si="0"/>
        <v>-2.5774974434503801</v>
      </c>
      <c r="L12" s="3">
        <f t="shared" si="0"/>
        <v>-2.8638860482781996</v>
      </c>
    </row>
    <row r="13" spans="1:12" x14ac:dyDescent="0.15">
      <c r="A13" t="s">
        <v>12</v>
      </c>
      <c r="B13">
        <v>-3.256742744829259E-3</v>
      </c>
      <c r="C13" s="3">
        <f t="shared" si="1"/>
        <v>-0.26705290507599921</v>
      </c>
      <c r="D13" s="3">
        <f t="shared" si="0"/>
        <v>-0.53410581015199843</v>
      </c>
      <c r="E13" s="3">
        <f t="shared" si="0"/>
        <v>-0.80115871522799775</v>
      </c>
      <c r="F13" s="3">
        <f t="shared" si="0"/>
        <v>-1.0682116203039969</v>
      </c>
      <c r="G13" s="3">
        <f t="shared" si="0"/>
        <v>-1.3352645253799964</v>
      </c>
      <c r="H13" s="3">
        <f t="shared" si="0"/>
        <v>-1.6023174304559955</v>
      </c>
      <c r="I13" s="3">
        <f t="shared" si="0"/>
        <v>-1.8693703355319946</v>
      </c>
      <c r="J13" s="3">
        <f t="shared" si="0"/>
        <v>-2.1364232406079937</v>
      </c>
      <c r="K13" s="3">
        <f t="shared" si="0"/>
        <v>-2.4034761456839933</v>
      </c>
      <c r="L13" s="3">
        <f t="shared" si="0"/>
        <v>-2.6705290507599928</v>
      </c>
    </row>
    <row r="14" spans="1:12" x14ac:dyDescent="0.15">
      <c r="A14" t="s">
        <v>13</v>
      </c>
      <c r="B14">
        <v>-3.2899007345410171E-3</v>
      </c>
      <c r="C14" s="3">
        <f t="shared" si="1"/>
        <v>-0.26977186023236338</v>
      </c>
      <c r="D14" s="3">
        <f t="shared" si="0"/>
        <v>-0.53954372046472676</v>
      </c>
      <c r="E14" s="3">
        <f t="shared" si="0"/>
        <v>-0.8093155806970902</v>
      </c>
      <c r="F14" s="3">
        <f t="shared" si="0"/>
        <v>-1.0790874409294535</v>
      </c>
      <c r="G14" s="3">
        <f t="shared" si="0"/>
        <v>-1.3488593011618171</v>
      </c>
      <c r="H14" s="3">
        <f t="shared" si="0"/>
        <v>-1.6186311613941804</v>
      </c>
      <c r="I14" s="3">
        <f t="shared" si="0"/>
        <v>-1.8884030216265439</v>
      </c>
      <c r="J14" s="3">
        <f t="shared" si="0"/>
        <v>-2.158174881858907</v>
      </c>
      <c r="K14" s="3">
        <f t="shared" si="0"/>
        <v>-2.4279467420912706</v>
      </c>
      <c r="L14" s="3">
        <f t="shared" si="0"/>
        <v>-2.6977186023236341</v>
      </c>
    </row>
    <row r="15" spans="1:12" x14ac:dyDescent="0.15">
      <c r="A15" t="s">
        <v>14</v>
      </c>
      <c r="B15">
        <v>-2.6833150102415419E-3</v>
      </c>
      <c r="C15" s="3">
        <f t="shared" si="1"/>
        <v>-0.22003183083980643</v>
      </c>
      <c r="D15" s="3">
        <f t="shared" si="0"/>
        <v>-0.44006366167961286</v>
      </c>
      <c r="E15" s="3">
        <f t="shared" si="0"/>
        <v>-0.66009549251941924</v>
      </c>
      <c r="F15" s="3">
        <f t="shared" si="0"/>
        <v>-0.88012732335922572</v>
      </c>
      <c r="G15" s="3">
        <f t="shared" si="0"/>
        <v>-1.1001591541990323</v>
      </c>
      <c r="H15" s="3">
        <f t="shared" si="0"/>
        <v>-1.3201909850388385</v>
      </c>
      <c r="I15" s="3">
        <f t="shared" si="0"/>
        <v>-1.5402228158786451</v>
      </c>
      <c r="J15" s="3">
        <f t="shared" si="0"/>
        <v>-1.7602546467184514</v>
      </c>
      <c r="K15" s="3">
        <f t="shared" si="0"/>
        <v>-1.980286477558258</v>
      </c>
      <c r="L15" s="3">
        <f t="shared" si="0"/>
        <v>-2.2003183083980646</v>
      </c>
    </row>
    <row r="16" spans="1:12" x14ac:dyDescent="0.15">
      <c r="A16" t="s">
        <v>15</v>
      </c>
      <c r="B16">
        <v>-2.654297596272513E-3</v>
      </c>
      <c r="C16" s="3">
        <f t="shared" si="1"/>
        <v>-0.21765240289434606</v>
      </c>
      <c r="D16" s="3">
        <f t="shared" si="0"/>
        <v>-0.43530480578869213</v>
      </c>
      <c r="E16" s="3">
        <f t="shared" si="0"/>
        <v>-0.65295720868303819</v>
      </c>
      <c r="F16" s="3">
        <f t="shared" si="0"/>
        <v>-0.87060961157738426</v>
      </c>
      <c r="G16" s="3">
        <f t="shared" si="0"/>
        <v>-1.0882620144717303</v>
      </c>
      <c r="H16" s="3">
        <f t="shared" si="0"/>
        <v>-1.3059144173660764</v>
      </c>
      <c r="I16" s="3">
        <f t="shared" si="0"/>
        <v>-1.5235668202604224</v>
      </c>
      <c r="J16" s="3">
        <f t="shared" si="0"/>
        <v>-1.7412192231547685</v>
      </c>
      <c r="K16" s="3">
        <f t="shared" si="0"/>
        <v>-1.9588716260491148</v>
      </c>
      <c r="L16" s="3">
        <f t="shared" si="0"/>
        <v>-2.1765240289434606</v>
      </c>
    </row>
    <row r="17" spans="1:12" x14ac:dyDescent="0.15">
      <c r="A17" t="s">
        <v>16</v>
      </c>
      <c r="B17">
        <v>-2.854037498848612E-3</v>
      </c>
      <c r="C17" s="3">
        <f t="shared" si="1"/>
        <v>-0.23403107490558617</v>
      </c>
      <c r="D17" s="3">
        <f t="shared" si="0"/>
        <v>-0.46806214981117233</v>
      </c>
      <c r="E17" s="3">
        <f t="shared" si="0"/>
        <v>-0.7020932247167585</v>
      </c>
      <c r="F17" s="3">
        <f t="shared" si="0"/>
        <v>-0.93612429962234467</v>
      </c>
      <c r="G17" s="3">
        <f t="shared" si="0"/>
        <v>-1.1701553745279309</v>
      </c>
      <c r="H17" s="3">
        <f t="shared" si="0"/>
        <v>-1.404186449433517</v>
      </c>
      <c r="I17" s="3">
        <f t="shared" si="0"/>
        <v>-1.6382175243391033</v>
      </c>
      <c r="J17" s="3">
        <f t="shared" si="0"/>
        <v>-1.8722485992446893</v>
      </c>
      <c r="K17" s="3">
        <f t="shared" si="0"/>
        <v>-2.1062796741502758</v>
      </c>
      <c r="L17" s="3">
        <f t="shared" si="0"/>
        <v>-2.3403107490558619</v>
      </c>
    </row>
    <row r="18" spans="1:12" x14ac:dyDescent="0.15">
      <c r="A18" t="s">
        <v>17</v>
      </c>
      <c r="B18">
        <v>-2.8249912438240979E-3</v>
      </c>
      <c r="C18" s="3">
        <f t="shared" si="1"/>
        <v>-0.23164928199357601</v>
      </c>
      <c r="D18" s="3">
        <f t="shared" si="1"/>
        <v>-0.46329856398715202</v>
      </c>
      <c r="E18" s="3">
        <f t="shared" si="1"/>
        <v>-0.69494784598072801</v>
      </c>
      <c r="F18" s="3">
        <f t="shared" si="1"/>
        <v>-0.92659712797430405</v>
      </c>
      <c r="G18" s="3">
        <f t="shared" si="1"/>
        <v>-1.1582464099678802</v>
      </c>
      <c r="H18" s="3">
        <f t="shared" si="1"/>
        <v>-1.389895691961456</v>
      </c>
      <c r="I18" s="3">
        <f t="shared" si="1"/>
        <v>-1.6215449739550321</v>
      </c>
      <c r="J18" s="3">
        <f t="shared" si="1"/>
        <v>-1.8531942559486081</v>
      </c>
      <c r="K18" s="3">
        <f t="shared" si="1"/>
        <v>-2.0848435379421844</v>
      </c>
      <c r="L18" s="3">
        <f t="shared" si="1"/>
        <v>-2.3164928199357604</v>
      </c>
    </row>
    <row r="19" spans="1:12" x14ac:dyDescent="0.15">
      <c r="A19" t="s">
        <v>18</v>
      </c>
      <c r="B19">
        <v>-2.5600489458681812E-3</v>
      </c>
      <c r="C19" s="3">
        <f t="shared" si="1"/>
        <v>-0.20992401356119086</v>
      </c>
      <c r="D19" s="3">
        <f t="shared" si="1"/>
        <v>-0.41984802712238173</v>
      </c>
      <c r="E19" s="3">
        <f t="shared" si="1"/>
        <v>-0.62977204068357262</v>
      </c>
      <c r="F19" s="3">
        <f t="shared" si="1"/>
        <v>-0.83969605424476346</v>
      </c>
      <c r="G19" s="3">
        <f t="shared" si="1"/>
        <v>-1.0496200678059542</v>
      </c>
      <c r="H19" s="3">
        <f t="shared" si="1"/>
        <v>-1.2595440813671452</v>
      </c>
      <c r="I19" s="3">
        <f t="shared" si="1"/>
        <v>-1.4694680949283361</v>
      </c>
      <c r="J19" s="3">
        <f t="shared" si="1"/>
        <v>-1.6793921084895269</v>
      </c>
      <c r="K19" s="3">
        <f t="shared" si="1"/>
        <v>-1.8893161220507178</v>
      </c>
      <c r="L19" s="3">
        <f t="shared" si="1"/>
        <v>-2.0992401356119084</v>
      </c>
    </row>
    <row r="20" spans="1:12" x14ac:dyDescent="0.15">
      <c r="A20" t="s">
        <v>19</v>
      </c>
      <c r="B20">
        <v>-2.5594322862388949E-3</v>
      </c>
      <c r="C20" s="3">
        <f>C$1*$B20*82</f>
        <v>-0.2098734474715894</v>
      </c>
      <c r="D20" s="3">
        <f t="shared" si="1"/>
        <v>-0.41974689494317879</v>
      </c>
      <c r="E20" s="3">
        <f t="shared" si="1"/>
        <v>-0.62962034241476816</v>
      </c>
      <c r="F20" s="3">
        <f t="shared" si="1"/>
        <v>-0.83949378988635759</v>
      </c>
      <c r="G20" s="3">
        <f t="shared" si="1"/>
        <v>-1.0493672373579468</v>
      </c>
      <c r="H20" s="3">
        <f t="shared" si="1"/>
        <v>-1.2592406848295363</v>
      </c>
      <c r="I20" s="3">
        <f t="shared" si="1"/>
        <v>-1.4691141323011259</v>
      </c>
      <c r="J20" s="3">
        <f t="shared" si="1"/>
        <v>-1.6789875797727152</v>
      </c>
      <c r="K20" s="3">
        <f t="shared" si="1"/>
        <v>-1.8888610272443045</v>
      </c>
      <c r="L20" s="3">
        <f t="shared" si="1"/>
        <v>-2.0987344747158936</v>
      </c>
    </row>
    <row r="21" spans="1:12" x14ac:dyDescent="0.15">
      <c r="B21">
        <f>AVERAGE(B2:B20)</f>
        <v>-3.1703708952619432E-3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2024-12-29T13:28:32Z</dcterms:created>
  <dcterms:modified xsi:type="dcterms:W3CDTF">2025-01-10T03:37:43Z</dcterms:modified>
</cp:coreProperties>
</file>