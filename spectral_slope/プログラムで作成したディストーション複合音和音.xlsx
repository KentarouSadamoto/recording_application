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search\recording_application\spectral_slope\"/>
    </mc:Choice>
  </mc:AlternateContent>
  <xr:revisionPtr revIDLastSave="0" documentId="13_ncr:1_{99349E72-2A57-45B2-97FF-F27F4C599D04}" xr6:coauthVersionLast="47" xr6:coauthVersionMax="47" xr10:uidLastSave="{00000000-0000-0000-0000-000000000000}"/>
  <bookViews>
    <workbookView xWindow="-120" yWindow="-120" windowWidth="29040" windowHeight="15720" xr2:uid="{A72690F0-5E19-4D6D-8D60-C9C89BD2B8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C2" i="1"/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</calcChain>
</file>

<file path=xl/sharedStrings.xml><?xml version="1.0" encoding="utf-8"?>
<sst xmlns="http://schemas.openxmlformats.org/spreadsheetml/2006/main" count="3" uniqueCount="3">
  <si>
    <t>6秒時点</t>
    <rPh sb="1" eb="2">
      <t>ビョウ</t>
    </rPh>
    <rPh sb="2" eb="4">
      <t>ジテン</t>
    </rPh>
    <phoneticPr fontId="1"/>
  </si>
  <si>
    <t>9秒時点</t>
    <rPh sb="1" eb="2">
      <t>ビョウ</t>
    </rPh>
    <rPh sb="2" eb="4">
      <t>ジテン</t>
    </rPh>
    <phoneticPr fontId="1"/>
  </si>
  <si>
    <t>スペクトルの傾き</t>
    <rPh sb="6" eb="7">
      <t>カタム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</si>
</sst>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6秒時点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Sheet1!$C$1:$X$1</c:f>
              <c:numCache>
                <c:formatCode>General</c:formatCode>
                <c:ptCount val="2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</c:numCache>
            </c:numRef>
          </c:xVal>
          <c:yVal>
            <c:numRef>
              <c:f>Sheet1!$C$2:$X$2</c:f>
              <c:numCache>
                <c:formatCode>General</c:formatCode>
                <c:ptCount val="22"/>
                <c:pt idx="0">
                  <c:v>-1.6979927794332801</c:v>
                </c:pt>
                <c:pt idx="1">
                  <c:v>-3.3959855588665602</c:v>
                </c:pt>
                <c:pt idx="2">
                  <c:v>-5.0939783382998405</c:v>
                </c:pt>
                <c:pt idx="3">
                  <c:v>-6.7919711177331203</c:v>
                </c:pt>
                <c:pt idx="4">
                  <c:v>-8.4899638971663993</c:v>
                </c:pt>
                <c:pt idx="5">
                  <c:v>-10.187956676599681</c:v>
                </c:pt>
                <c:pt idx="6">
                  <c:v>-11.885949456032961</c:v>
                </c:pt>
                <c:pt idx="7">
                  <c:v>-13.583942235466241</c:v>
                </c:pt>
                <c:pt idx="8">
                  <c:v>-15.281935014899521</c:v>
                </c:pt>
                <c:pt idx="9">
                  <c:v>-16.979927794332799</c:v>
                </c:pt>
                <c:pt idx="10">
                  <c:v>-18.67792057376608</c:v>
                </c:pt>
                <c:pt idx="11">
                  <c:v>-20.375913353199362</c:v>
                </c:pt>
                <c:pt idx="12">
                  <c:v>-22.07390613263264</c:v>
                </c:pt>
                <c:pt idx="13">
                  <c:v>-23.771898912065922</c:v>
                </c:pt>
                <c:pt idx="14">
                  <c:v>-25.4698916914992</c:v>
                </c:pt>
                <c:pt idx="15">
                  <c:v>-27.167884470932481</c:v>
                </c:pt>
                <c:pt idx="16">
                  <c:v>-28.865877250365759</c:v>
                </c:pt>
                <c:pt idx="17">
                  <c:v>-30.563870029799041</c:v>
                </c:pt>
                <c:pt idx="18">
                  <c:v>-32.261862809232319</c:v>
                </c:pt>
                <c:pt idx="19">
                  <c:v>-33.959855588665597</c:v>
                </c:pt>
                <c:pt idx="20">
                  <c:v>-35.657848368098882</c:v>
                </c:pt>
                <c:pt idx="21">
                  <c:v>-37.355841147532161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08-4D03-9ABF-40A94A5E8C9A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9秒時点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Sheet1!$C$1:$X$1</c:f>
              <c:numCache>
                <c:formatCode>General</c:formatCode>
                <c:ptCount val="2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</c:numCache>
            </c:numRef>
          </c:xVal>
          <c:yVal>
            <c:numRef>
              <c:f>Sheet1!$C$3:$X$3</c:f>
              <c:numCache>
                <c:formatCode>General</c:formatCode>
                <c:ptCount val="22"/>
                <c:pt idx="0">
                  <c:v>-2.10220585777975</c:v>
                </c:pt>
                <c:pt idx="1">
                  <c:v>-4.2044117155595</c:v>
                </c:pt>
                <c:pt idx="2">
                  <c:v>-6.3066175733392491</c:v>
                </c:pt>
                <c:pt idx="3">
                  <c:v>-8.408823431119</c:v>
                </c:pt>
                <c:pt idx="4">
                  <c:v>-10.511029288898749</c:v>
                </c:pt>
                <c:pt idx="5">
                  <c:v>-12.613235146678498</c:v>
                </c:pt>
                <c:pt idx="6">
                  <c:v>-14.715441004458249</c:v>
                </c:pt>
                <c:pt idx="7">
                  <c:v>-16.817646862238</c:v>
                </c:pt>
                <c:pt idx="8">
                  <c:v>-18.919852720017747</c:v>
                </c:pt>
                <c:pt idx="9">
                  <c:v>-21.022058577797498</c:v>
                </c:pt>
                <c:pt idx="10">
                  <c:v>-23.124264435577249</c:v>
                </c:pt>
                <c:pt idx="11">
                  <c:v>-25.226470293356996</c:v>
                </c:pt>
                <c:pt idx="12">
                  <c:v>-27.328676151136747</c:v>
                </c:pt>
                <c:pt idx="13">
                  <c:v>-29.430882008916498</c:v>
                </c:pt>
                <c:pt idx="14">
                  <c:v>-31.533087866696246</c:v>
                </c:pt>
                <c:pt idx="15">
                  <c:v>-33.635293724476</c:v>
                </c:pt>
                <c:pt idx="16">
                  <c:v>-35.737499582255744</c:v>
                </c:pt>
                <c:pt idx="17">
                  <c:v>-37.839705440035495</c:v>
                </c:pt>
                <c:pt idx="18">
                  <c:v>-39.941911297815246</c:v>
                </c:pt>
                <c:pt idx="19">
                  <c:v>-42.044117155594996</c:v>
                </c:pt>
                <c:pt idx="20">
                  <c:v>-44.146323013374747</c:v>
                </c:pt>
                <c:pt idx="21">
                  <c:v>-46.248528871154498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B08-4D03-9ABF-40A94A5E8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8323199"/>
        <c:axId val="1068325599"/>
      </c:scatterChart>
      <c:valAx>
        <c:axId val="1068323199"/>
        <c:scaling>
          <c:orientation val="minMax"/>
          <c:max val="220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Frequency(Hz)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68325599"/>
        <c:crosses val="autoZero"/>
        <c:crossBetween val="midCat"/>
      </c:valAx>
      <c:valAx>
        <c:axId val="1068325599"/>
        <c:scaling>
          <c:orientation val="minMax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Amplitude(dB)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683231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8</xdr:row>
      <xdr:rowOff>28575</xdr:rowOff>
    </xdr:from>
    <xdr:to>
      <xdr:col>15</xdr:col>
      <xdr:colOff>247650</xdr:colOff>
      <xdr:row>19</xdr:row>
      <xdr:rowOff>152400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1A2B706-2BBB-545F-1A24-0DCC0D5E06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6A396-0C8E-4821-98D6-8108F9FF8B6F}">
  <dimension ref="A1:X3"/>
  <sheetViews>
    <sheetView tabSelected="1" workbookViewId="0">
      <selection activeCell="T10" sqref="T10"/>
    </sheetView>
  </sheetViews>
  <sheetFormatPr defaultRowHeight="18.75" x14ac:dyDescent="0.4"/>
  <cols>
    <col min="2" max="2" width="17.25" bestFit="1" customWidth="1"/>
  </cols>
  <sheetData>
    <row r="1" spans="1:24" x14ac:dyDescent="0.4">
      <c r="B1" t="s">
        <v>2</v>
      </c>
      <c r="C1" s="1">
        <v>1000</v>
      </c>
      <c r="D1" s="1">
        <f>C1+$C$1</f>
        <v>2000</v>
      </c>
      <c r="E1" s="1">
        <f>D1+$C$1</f>
        <v>3000</v>
      </c>
      <c r="F1" s="1">
        <f t="shared" ref="F1:X1" si="0">E1+$C$1</f>
        <v>4000</v>
      </c>
      <c r="G1" s="1">
        <f t="shared" si="0"/>
        <v>5000</v>
      </c>
      <c r="H1" s="1">
        <f t="shared" si="0"/>
        <v>6000</v>
      </c>
      <c r="I1" s="1">
        <f t="shared" si="0"/>
        <v>7000</v>
      </c>
      <c r="J1" s="1">
        <f t="shared" si="0"/>
        <v>8000</v>
      </c>
      <c r="K1" s="1">
        <f t="shared" si="0"/>
        <v>9000</v>
      </c>
      <c r="L1" s="1">
        <f t="shared" si="0"/>
        <v>10000</v>
      </c>
      <c r="M1" s="1">
        <f t="shared" si="0"/>
        <v>11000</v>
      </c>
      <c r="N1" s="1">
        <f t="shared" si="0"/>
        <v>12000</v>
      </c>
      <c r="O1" s="1">
        <f t="shared" si="0"/>
        <v>13000</v>
      </c>
      <c r="P1" s="1">
        <f t="shared" si="0"/>
        <v>14000</v>
      </c>
      <c r="Q1" s="1">
        <f t="shared" si="0"/>
        <v>15000</v>
      </c>
      <c r="R1" s="1">
        <f t="shared" si="0"/>
        <v>16000</v>
      </c>
      <c r="S1" s="1">
        <f t="shared" si="0"/>
        <v>17000</v>
      </c>
      <c r="T1" s="1">
        <f t="shared" si="0"/>
        <v>18000</v>
      </c>
      <c r="U1" s="1">
        <f t="shared" si="0"/>
        <v>19000</v>
      </c>
      <c r="V1" s="1">
        <f t="shared" si="0"/>
        <v>20000</v>
      </c>
      <c r="W1" s="1">
        <f t="shared" si="0"/>
        <v>21000</v>
      </c>
      <c r="X1" s="1">
        <f t="shared" si="0"/>
        <v>22000</v>
      </c>
    </row>
    <row r="2" spans="1:24" x14ac:dyDescent="0.4">
      <c r="A2" t="s">
        <v>0</v>
      </c>
      <c r="B2">
        <v>-1.69799277943328E-3</v>
      </c>
      <c r="C2">
        <f>$B2*C$1</f>
        <v>-1.6979927794332801</v>
      </c>
      <c r="D2">
        <f t="shared" ref="D2:X3" si="1">$B2*D$1</f>
        <v>-3.3959855588665602</v>
      </c>
      <c r="E2">
        <f t="shared" si="1"/>
        <v>-5.0939783382998405</v>
      </c>
      <c r="F2">
        <f t="shared" si="1"/>
        <v>-6.7919711177331203</v>
      </c>
      <c r="G2">
        <f t="shared" si="1"/>
        <v>-8.4899638971663993</v>
      </c>
      <c r="H2">
        <f t="shared" si="1"/>
        <v>-10.187956676599681</v>
      </c>
      <c r="I2">
        <f t="shared" si="1"/>
        <v>-11.885949456032961</v>
      </c>
      <c r="J2">
        <f t="shared" si="1"/>
        <v>-13.583942235466241</v>
      </c>
      <c r="K2">
        <f t="shared" si="1"/>
        <v>-15.281935014899521</v>
      </c>
      <c r="L2">
        <f t="shared" si="1"/>
        <v>-16.979927794332799</v>
      </c>
      <c r="M2">
        <f t="shared" si="1"/>
        <v>-18.67792057376608</v>
      </c>
      <c r="N2">
        <f t="shared" si="1"/>
        <v>-20.375913353199362</v>
      </c>
      <c r="O2">
        <f t="shared" si="1"/>
        <v>-22.07390613263264</v>
      </c>
      <c r="P2">
        <f t="shared" si="1"/>
        <v>-23.771898912065922</v>
      </c>
      <c r="Q2">
        <f t="shared" si="1"/>
        <v>-25.4698916914992</v>
      </c>
      <c r="R2">
        <f t="shared" si="1"/>
        <v>-27.167884470932481</v>
      </c>
      <c r="S2">
        <f t="shared" si="1"/>
        <v>-28.865877250365759</v>
      </c>
      <c r="T2">
        <f t="shared" si="1"/>
        <v>-30.563870029799041</v>
      </c>
      <c r="U2">
        <f t="shared" si="1"/>
        <v>-32.261862809232319</v>
      </c>
      <c r="V2">
        <f t="shared" si="1"/>
        <v>-33.959855588665597</v>
      </c>
      <c r="W2">
        <f t="shared" si="1"/>
        <v>-35.657848368098882</v>
      </c>
      <c r="X2">
        <f t="shared" si="1"/>
        <v>-37.355841147532161</v>
      </c>
    </row>
    <row r="3" spans="1:24" x14ac:dyDescent="0.4">
      <c r="A3" t="s">
        <v>1</v>
      </c>
      <c r="B3">
        <v>-2.1022058577797498E-3</v>
      </c>
      <c r="C3">
        <f>$B3*C$1</f>
        <v>-2.10220585777975</v>
      </c>
      <c r="D3">
        <f t="shared" si="1"/>
        <v>-4.2044117155595</v>
      </c>
      <c r="E3">
        <f t="shared" si="1"/>
        <v>-6.3066175733392491</v>
      </c>
      <c r="F3">
        <f t="shared" si="1"/>
        <v>-8.408823431119</v>
      </c>
      <c r="G3">
        <f t="shared" si="1"/>
        <v>-10.511029288898749</v>
      </c>
      <c r="H3">
        <f t="shared" si="1"/>
        <v>-12.613235146678498</v>
      </c>
      <c r="I3">
        <f t="shared" si="1"/>
        <v>-14.715441004458249</v>
      </c>
      <c r="J3">
        <f t="shared" si="1"/>
        <v>-16.817646862238</v>
      </c>
      <c r="K3">
        <f t="shared" si="1"/>
        <v>-18.919852720017747</v>
      </c>
      <c r="L3">
        <f t="shared" si="1"/>
        <v>-21.022058577797498</v>
      </c>
      <c r="M3">
        <f t="shared" si="1"/>
        <v>-23.124264435577249</v>
      </c>
      <c r="N3">
        <f t="shared" si="1"/>
        <v>-25.226470293356996</v>
      </c>
      <c r="O3">
        <f t="shared" si="1"/>
        <v>-27.328676151136747</v>
      </c>
      <c r="P3">
        <f t="shared" si="1"/>
        <v>-29.430882008916498</v>
      </c>
      <c r="Q3">
        <f t="shared" si="1"/>
        <v>-31.533087866696246</v>
      </c>
      <c r="R3">
        <f t="shared" si="1"/>
        <v>-33.635293724476</v>
      </c>
      <c r="S3">
        <f t="shared" si="1"/>
        <v>-35.737499582255744</v>
      </c>
      <c r="T3">
        <f t="shared" si="1"/>
        <v>-37.839705440035495</v>
      </c>
      <c r="U3">
        <f t="shared" si="1"/>
        <v>-39.941911297815246</v>
      </c>
      <c r="V3">
        <f t="shared" si="1"/>
        <v>-42.044117155594996</v>
      </c>
      <c r="W3">
        <f t="shared" si="1"/>
        <v>-44.146323013374747</v>
      </c>
      <c r="X3">
        <f t="shared" si="1"/>
        <v>-46.248528871154498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健太郎 定本</dc:creator>
  <cp:lastModifiedBy>健太郎 定本</cp:lastModifiedBy>
  <dcterms:created xsi:type="dcterms:W3CDTF">2025-01-30T07:09:11Z</dcterms:created>
  <dcterms:modified xsi:type="dcterms:W3CDTF">2025-01-30T09:06:03Z</dcterms:modified>
</cp:coreProperties>
</file>