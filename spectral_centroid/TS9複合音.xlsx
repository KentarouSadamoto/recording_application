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spectral_centroid\"/>
    </mc:Choice>
  </mc:AlternateContent>
  <xr:revisionPtr revIDLastSave="0" documentId="13_ncr:1_{0E1A3E11-7E49-4346-B367-8EC204C47F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F5" i="1"/>
  <c r="E5" i="1"/>
  <c r="G4" i="1"/>
  <c r="F4" i="1"/>
  <c r="E4" i="1"/>
  <c r="G3" i="1"/>
  <c r="F3" i="1"/>
  <c r="E3" i="1"/>
  <c r="B21" i="1"/>
</calcChain>
</file>

<file path=xl/sharedStrings.xml><?xml version="1.0" encoding="utf-8"?>
<sst xmlns="http://schemas.openxmlformats.org/spreadsheetml/2006/main" count="29" uniqueCount="29">
  <si>
    <t>スペクトル重心</t>
  </si>
  <si>
    <t>BYPASS</t>
    <phoneticPr fontId="2"/>
  </si>
  <si>
    <t>DRIVE=0,TONE=0,LEVEL=5</t>
    <phoneticPr fontId="2"/>
  </si>
  <si>
    <t>DRIVE=0,TONE=0,LEVEL=10</t>
    <phoneticPr fontId="2"/>
  </si>
  <si>
    <t>DRIVE=0,TONE=5,LEVEL=5</t>
    <phoneticPr fontId="2"/>
  </si>
  <si>
    <t>DRIVE=0,TONE=5,LEVEL=10</t>
    <phoneticPr fontId="2"/>
  </si>
  <si>
    <t>DRIVE=0,TONE=10,LEVEL=5</t>
    <phoneticPr fontId="2"/>
  </si>
  <si>
    <t>DRIVE=0,TONE=10,LEVEL=10</t>
    <phoneticPr fontId="2"/>
  </si>
  <si>
    <t>DRIVE=5,TONE=0,LEVEL=5</t>
    <phoneticPr fontId="2"/>
  </si>
  <si>
    <t>DRIVE=5,TONE=0,LEVEL=10</t>
    <phoneticPr fontId="2"/>
  </si>
  <si>
    <t>DRIVE=5,TONE=5,LEVEL=5</t>
    <phoneticPr fontId="2"/>
  </si>
  <si>
    <t>DRIVE=5,TONE=5,LEVEL=10</t>
    <phoneticPr fontId="2"/>
  </si>
  <si>
    <t>DRIVE=5,TONE=10,LEVEL=5</t>
    <phoneticPr fontId="2"/>
  </si>
  <si>
    <t>DRIVE=5,TONE=10,LEVEL=10</t>
    <phoneticPr fontId="2"/>
  </si>
  <si>
    <t>DRIVE=10,TONE=0,LEVEL=5</t>
    <phoneticPr fontId="2"/>
  </si>
  <si>
    <t>DRIVE=10,TONE=0,LEVEL=10</t>
    <phoneticPr fontId="2"/>
  </si>
  <si>
    <t>DRIVE=10,TONE=5,LEVEL=5</t>
    <phoneticPr fontId="2"/>
  </si>
  <si>
    <t>DRIVE=10,TONE=5,LEVEL=10</t>
    <phoneticPr fontId="2"/>
  </si>
  <si>
    <t>DRIVE=10,TONE=10,LEVEL=5</t>
    <phoneticPr fontId="2"/>
  </si>
  <si>
    <t>DRIVE=10,TONE=10,LEVEL=10</t>
    <phoneticPr fontId="2"/>
  </si>
  <si>
    <t>平均</t>
    <rPh sb="0" eb="2">
      <t>ヘイキン</t>
    </rPh>
    <phoneticPr fontId="2"/>
  </si>
  <si>
    <t>LEVEL=10</t>
    <phoneticPr fontId="2"/>
  </si>
  <si>
    <t>DRIVE/TONE</t>
    <phoneticPr fontId="2"/>
  </si>
  <si>
    <t>TONE=0</t>
    <phoneticPr fontId="2"/>
  </si>
  <si>
    <t>TONE=5</t>
    <phoneticPr fontId="2"/>
  </si>
  <si>
    <t>TONE=10</t>
    <phoneticPr fontId="2"/>
  </si>
  <si>
    <t>DRIVE=0</t>
    <phoneticPr fontId="2"/>
  </si>
  <si>
    <t>DRIVE=5</t>
    <phoneticPr fontId="2"/>
  </si>
  <si>
    <t>DRIVE=10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</si>
</sst>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Sheet1!$A$2:$A$20</c:f>
              <c:strCache>
                <c:ptCount val="19"/>
                <c:pt idx="0">
                  <c:v>BYPASS</c:v>
                </c:pt>
                <c:pt idx="1">
                  <c:v>DRIVE=0,TONE=0,LEVEL=5</c:v>
                </c:pt>
                <c:pt idx="2">
                  <c:v>DRIVE=0,TONE=0,LEVEL=10</c:v>
                </c:pt>
                <c:pt idx="3">
                  <c:v>DRIVE=0,TONE=5,LEVEL=5</c:v>
                </c:pt>
                <c:pt idx="4">
                  <c:v>DRIVE=0,TONE=5,LEVEL=10</c:v>
                </c:pt>
                <c:pt idx="5">
                  <c:v>DRIVE=0,TONE=10,LEVEL=5</c:v>
                </c:pt>
                <c:pt idx="6">
                  <c:v>DRIVE=0,TONE=10,LEVEL=10</c:v>
                </c:pt>
                <c:pt idx="7">
                  <c:v>DRIVE=5,TONE=0,LEVEL=5</c:v>
                </c:pt>
                <c:pt idx="8">
                  <c:v>DRIVE=5,TONE=0,LEVEL=10</c:v>
                </c:pt>
                <c:pt idx="9">
                  <c:v>DRIVE=5,TONE=5,LEVEL=5</c:v>
                </c:pt>
                <c:pt idx="10">
                  <c:v>DRIVE=5,TONE=5,LEVEL=10</c:v>
                </c:pt>
                <c:pt idx="11">
                  <c:v>DRIVE=5,TONE=10,LEVEL=5</c:v>
                </c:pt>
                <c:pt idx="12">
                  <c:v>DRIVE=5,TONE=10,LEVEL=10</c:v>
                </c:pt>
                <c:pt idx="13">
                  <c:v>DRIVE=10,TONE=0,LEVEL=5</c:v>
                </c:pt>
                <c:pt idx="14">
                  <c:v>DRIVE=10,TONE=0,LEVEL=10</c:v>
                </c:pt>
                <c:pt idx="15">
                  <c:v>DRIVE=10,TONE=5,LEVEL=5</c:v>
                </c:pt>
                <c:pt idx="16">
                  <c:v>DRIVE=10,TONE=5,LEVEL=10</c:v>
                </c:pt>
                <c:pt idx="17">
                  <c:v>DRIVE=10,TONE=10,LEVEL=5</c:v>
                </c:pt>
                <c:pt idx="18">
                  <c:v>DRIVE=10,TONE=10,LEVEL=10</c:v>
                </c:pt>
              </c:strCache>
            </c:strRef>
          </c:cat>
          <c:val>
            <c:numRef>
              <c:f>Sheet1!$B$2:$B$20</c:f>
              <c:numCache>
                <c:formatCode>General</c:formatCode>
                <c:ptCount val="19"/>
                <c:pt idx="0">
                  <c:v>977</c:v>
                </c:pt>
                <c:pt idx="1">
                  <c:v>1082</c:v>
                </c:pt>
                <c:pt idx="2">
                  <c:v>1077</c:v>
                </c:pt>
                <c:pt idx="3">
                  <c:v>1126</c:v>
                </c:pt>
                <c:pt idx="4">
                  <c:v>1123</c:v>
                </c:pt>
                <c:pt idx="5">
                  <c:v>1642</c:v>
                </c:pt>
                <c:pt idx="6">
                  <c:v>1640</c:v>
                </c:pt>
                <c:pt idx="7">
                  <c:v>1183</c:v>
                </c:pt>
                <c:pt idx="8">
                  <c:v>1182</c:v>
                </c:pt>
                <c:pt idx="9">
                  <c:v>1212</c:v>
                </c:pt>
                <c:pt idx="10">
                  <c:v>1212</c:v>
                </c:pt>
                <c:pt idx="11">
                  <c:v>1850</c:v>
                </c:pt>
                <c:pt idx="12">
                  <c:v>1848</c:v>
                </c:pt>
                <c:pt idx="13">
                  <c:v>1227</c:v>
                </c:pt>
                <c:pt idx="14">
                  <c:v>1227</c:v>
                </c:pt>
                <c:pt idx="15">
                  <c:v>1247</c:v>
                </c:pt>
                <c:pt idx="16">
                  <c:v>1247</c:v>
                </c:pt>
                <c:pt idx="17">
                  <c:v>1930</c:v>
                </c:pt>
                <c:pt idx="18">
                  <c:v>1927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5-4679-A965-89D686D6C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876864"/>
        <c:axId val="1075878304"/>
      </c:barChart>
      <c:catAx>
        <c:axId val="10758768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5878304"/>
        <c:crosses val="autoZero"/>
        <c:auto val="1"/>
        <c:lblAlgn val="ctr"/>
        <c:lblOffset val="100"/>
        <c:noMultiLvlLbl val="0"/>
      </c:catAx>
      <c:valAx>
        <c:axId val="1075878304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スペクトル重心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587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DRIVE=0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Sheet1!$E$2:$G$2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Sheet1!$E$3:$G$3</c:f>
              <c:numCache>
                <c:formatCode>General</c:formatCode>
                <c:ptCount val="3"/>
                <c:pt idx="0">
                  <c:v>1077</c:v>
                </c:pt>
                <c:pt idx="1">
                  <c:v>1123</c:v>
                </c:pt>
                <c:pt idx="2">
                  <c:v>1640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F5-4EA8-858A-B695CDE08117}"/>
            </c:ext>
          </c:extLst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DRIVE=5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Sheet1!$E$2:$G$2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Sheet1!$E$4:$G$4</c:f>
              <c:numCache>
                <c:formatCode>General</c:formatCode>
                <c:ptCount val="3"/>
                <c:pt idx="0">
                  <c:v>1182</c:v>
                </c:pt>
                <c:pt idx="1">
                  <c:v>1212</c:v>
                </c:pt>
                <c:pt idx="2">
                  <c:v>1848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F5-4EA8-858A-B695CDE08117}"/>
            </c:ext>
          </c:extLst>
        </c:ser>
        <c:ser>
          <c:idx val="2"/>
          <c:order val="2"/>
          <c:tx>
            <c:strRef>
              <c:f>Sheet1!$D$5</c:f>
              <c:strCache>
                <c:ptCount val="1"/>
                <c:pt idx="0">
                  <c:v>DRIVE=10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Sheet1!$E$2:$G$2</c:f>
              <c:strCache>
                <c:ptCount val="3"/>
                <c:pt idx="0">
                  <c:v>TONE=0</c:v>
                </c:pt>
                <c:pt idx="1">
                  <c:v>TONE=5</c:v>
                </c:pt>
                <c:pt idx="2">
                  <c:v>TONE=10</c:v>
                </c:pt>
              </c:strCache>
            </c:strRef>
          </c:cat>
          <c:val>
            <c:numRef>
              <c:f>Sheet1!$E$5:$G$5</c:f>
              <c:numCache>
                <c:formatCode>General</c:formatCode>
                <c:ptCount val="3"/>
                <c:pt idx="0">
                  <c:v>1227</c:v>
                </c:pt>
                <c:pt idx="1">
                  <c:v>1247</c:v>
                </c:pt>
                <c:pt idx="2">
                  <c:v>1927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F5-4EA8-858A-B695CDE08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8719728"/>
        <c:axId val="1178720208"/>
      </c:lineChart>
      <c:catAx>
        <c:axId val="117871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78720208"/>
        <c:crosses val="autoZero"/>
        <c:auto val="1"/>
        <c:lblAlgn val="ctr"/>
        <c:lblOffset val="100"/>
        <c:noMultiLvlLbl val="0"/>
      </c:catAx>
      <c:valAx>
        <c:axId val="1178720208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7871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1077884</xdr:colOff>
      <xdr:row>21</xdr:row>
      <xdr:rowOff>146166</xdr:rowOff>
    </xdr:from>
    <xdr:to>
      <xdr:col>9</xdr:col>
      <xdr:colOff>117993</xdr:colOff>
      <xdr:row>43</xdr:row>
      <xdr:rowOff>59471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1632E24-9304-31E9-C35A-0D15874F1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468923</xdr:colOff>
      <xdr:row>5</xdr:row>
      <xdr:rowOff>84015</xdr:rowOff>
    </xdr:from>
    <xdr:to>
      <xdr:col>9</xdr:col>
      <xdr:colOff>475436</xdr:colOff>
      <xdr:row>21</xdr:row>
      <xdr:rowOff>117882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FF852AC-9C2F-372E-505D-2D0B336DD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="117" workbookViewId="0">
      <selection activeCell="O19" sqref="O19"/>
    </sheetView>
  </sheetViews>
  <sheetFormatPr defaultRowHeight="13.5" x14ac:dyDescent="0.15"/>
  <cols>
    <col min="1" max="1" width="32.375" bestFit="1" customWidth="1"/>
    <col min="2" max="2" width="14" customWidth="1"/>
    <col min="4" max="4" width="13.375" bestFit="1" customWidth="1"/>
    <col min="5" max="5" width="8.625" bestFit="1" customWidth="1"/>
  </cols>
  <sheetData>
    <row r="1" spans="1:7" x14ac:dyDescent="0.15">
      <c r="A1" s="3"/>
      <c r="B1" s="1" t="s">
        <v>0</v>
      </c>
      <c r="D1" t="s">
        <v>21</v>
      </c>
    </row>
    <row r="2" spans="1:7" x14ac:dyDescent="0.15">
      <c r="A2" s="2" t="s">
        <v>1</v>
      </c>
      <c r="B2" s="4">
        <v>977</v>
      </c>
      <c r="D2" t="s">
        <v>22</v>
      </c>
      <c r="E2" t="s">
        <v>23</v>
      </c>
      <c r="F2" t="s">
        <v>24</v>
      </c>
      <c r="G2" t="s">
        <v>25</v>
      </c>
    </row>
    <row r="3" spans="1:7" x14ac:dyDescent="0.15">
      <c r="A3" s="2" t="s">
        <v>2</v>
      </c>
      <c r="B3" s="4">
        <v>1082</v>
      </c>
      <c r="D3" t="s">
        <v>26</v>
      </c>
      <c r="E3">
        <f>B4</f>
        <v>1077</v>
      </c>
      <c r="F3">
        <f>B6</f>
        <v>1123</v>
      </c>
      <c r="G3">
        <f>B8</f>
        <v>1640</v>
      </c>
    </row>
    <row r="4" spans="1:7" x14ac:dyDescent="0.15">
      <c r="A4" s="2" t="s">
        <v>3</v>
      </c>
      <c r="B4" s="4">
        <v>1077</v>
      </c>
      <c r="D4" t="s">
        <v>27</v>
      </c>
      <c r="E4">
        <f>B10</f>
        <v>1182</v>
      </c>
      <c r="F4">
        <f>B12</f>
        <v>1212</v>
      </c>
      <c r="G4">
        <f>B14</f>
        <v>1848</v>
      </c>
    </row>
    <row r="5" spans="1:7" x14ac:dyDescent="0.15">
      <c r="A5" s="2" t="s">
        <v>4</v>
      </c>
      <c r="B5" s="4">
        <v>1126</v>
      </c>
      <c r="D5" t="s">
        <v>28</v>
      </c>
      <c r="E5">
        <f>B16</f>
        <v>1227</v>
      </c>
      <c r="F5">
        <f>B18</f>
        <v>1247</v>
      </c>
      <c r="G5">
        <f>B20</f>
        <v>1927</v>
      </c>
    </row>
    <row r="6" spans="1:7" x14ac:dyDescent="0.15">
      <c r="A6" s="2" t="s">
        <v>5</v>
      </c>
      <c r="B6" s="4">
        <v>1123</v>
      </c>
    </row>
    <row r="7" spans="1:7" x14ac:dyDescent="0.15">
      <c r="A7" s="2" t="s">
        <v>6</v>
      </c>
      <c r="B7" s="4">
        <v>1642</v>
      </c>
    </row>
    <row r="8" spans="1:7" x14ac:dyDescent="0.15">
      <c r="A8" s="2" t="s">
        <v>7</v>
      </c>
      <c r="B8" s="4">
        <v>1640</v>
      </c>
    </row>
    <row r="9" spans="1:7" x14ac:dyDescent="0.15">
      <c r="A9" s="2" t="s">
        <v>8</v>
      </c>
      <c r="B9" s="4">
        <v>1183</v>
      </c>
    </row>
    <row r="10" spans="1:7" x14ac:dyDescent="0.15">
      <c r="A10" s="2" t="s">
        <v>9</v>
      </c>
      <c r="B10" s="4">
        <v>1182</v>
      </c>
    </row>
    <row r="11" spans="1:7" x14ac:dyDescent="0.15">
      <c r="A11" s="2" t="s">
        <v>10</v>
      </c>
      <c r="B11" s="4">
        <v>1212</v>
      </c>
    </row>
    <row r="12" spans="1:7" x14ac:dyDescent="0.15">
      <c r="A12" s="2" t="s">
        <v>11</v>
      </c>
      <c r="B12" s="4">
        <v>1212</v>
      </c>
    </row>
    <row r="13" spans="1:7" x14ac:dyDescent="0.15">
      <c r="A13" s="2" t="s">
        <v>12</v>
      </c>
      <c r="B13" s="4">
        <v>1850</v>
      </c>
    </row>
    <row r="14" spans="1:7" x14ac:dyDescent="0.15">
      <c r="A14" s="2" t="s">
        <v>13</v>
      </c>
      <c r="B14" s="4">
        <v>1848</v>
      </c>
    </row>
    <row r="15" spans="1:7" x14ac:dyDescent="0.15">
      <c r="A15" s="2" t="s">
        <v>14</v>
      </c>
      <c r="B15" s="4">
        <v>1227</v>
      </c>
    </row>
    <row r="16" spans="1:7" x14ac:dyDescent="0.15">
      <c r="A16" s="2" t="s">
        <v>15</v>
      </c>
      <c r="B16" s="4">
        <v>1227</v>
      </c>
    </row>
    <row r="17" spans="1:2" x14ac:dyDescent="0.15">
      <c r="A17" s="2" t="s">
        <v>16</v>
      </c>
      <c r="B17" s="4">
        <v>1247</v>
      </c>
    </row>
    <row r="18" spans="1:2" x14ac:dyDescent="0.15">
      <c r="A18" s="2" t="s">
        <v>17</v>
      </c>
      <c r="B18" s="4">
        <v>1247</v>
      </c>
    </row>
    <row r="19" spans="1:2" x14ac:dyDescent="0.15">
      <c r="A19" s="2" t="s">
        <v>18</v>
      </c>
      <c r="B19" s="4">
        <v>1930</v>
      </c>
    </row>
    <row r="20" spans="1:2" x14ac:dyDescent="0.15">
      <c r="A20" s="2" t="s">
        <v>19</v>
      </c>
      <c r="B20" s="4">
        <v>1927</v>
      </c>
    </row>
    <row r="21" spans="1:2" x14ac:dyDescent="0.15">
      <c r="A21" s="2" t="s">
        <v>20</v>
      </c>
      <c r="B21" s="4">
        <f>AVERAGE(B2:B20)</f>
        <v>1366.2631578947369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2024-12-06T07:08:53Z</dcterms:created>
  <dcterms:modified xsi:type="dcterms:W3CDTF">2025-01-29T18:39:00Z</dcterms:modified>
</cp:coreProperties>
</file>